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lcome" sheetId="1" r:id="rId4"/>
    <sheet state="visible" name="Income" sheetId="2" r:id="rId5"/>
    <sheet state="visible" name="Person 1 Calculator" sheetId="3" r:id="rId6"/>
    <sheet state="visible" name="Person 1 Draw-down" sheetId="4" r:id="rId7"/>
    <sheet state="visible" name="Person 2 Calculator" sheetId="5" r:id="rId8"/>
    <sheet state="visible" name="Person 2 Draw-down" sheetId="6" r:id="rId9"/>
    <sheet state="visible" name="Combined Pensions" sheetId="7" r:id="rId10"/>
    <sheet state="visible" name="Settings" sheetId="8" r:id="rId11"/>
  </sheets>
  <definedNames>
    <definedName name="DataEntryRange">Income!$A$1:$P$23</definedName>
    <definedName name="IncomeK4">Income!$K$4</definedName>
    <definedName localSheetId="5" name="Remaining_Balance">'Person 2 Draw-down'!$AL$7</definedName>
    <definedName name="Remaining_Balance">'Person 1 Draw-down'!$AL$7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Green if first year's individual taxable amount is below the 40% threshold, otherwise red.
	-Felix M
----
This figure is automatically obtained when you run the 'Get Latest CPI' script under the 'My Scripts' menu. The data is obtained from :https://www.ons.gov.uk/economy/inflationandpriceindices/timeseries/d7g7/mm23/data
	-Felix M
----
Check whether total amounts for all days adds up to the total budget in L18
	-Felix M
----
Check whether total amounts for all days adds up to the total budget in L11
	-Felix M
----
Green if greater than budget in G7
	-Felix M
----
Make up for exhausted ISA
	-Felix M
----
First year of state pension
	-Felix M
----
Increase rent
	-Felix M
----
Increase rent
	-Felix M
----
Payrise - catch-up with inflation, if possible
	-Felix M
----
Payrise - catch-up with inflation, if possible
	-Felix M
----
Payrise - catch-up with inflation, if possible
	-Felix M
----
Payrise - catch-up with inflation, if possible
	-Felix M
----
Payrise - catch-up with inflation, if possible
	-Felix M
----
Payrise - catch-up with inflation, if possible
	-Felix M
----
Payrise - catch-up with inflation, if possible
	-Felix M
----
Deduct Barbican fees from tax bill
	-Felix M
----
Draw-down set to yield £120,000 starting salary
	-Felix M
----
Increase rent
	-Felix M
----
Increase rent
	-Felix M
----
Increase rent
	-Felix M
----
Increase rent
	-Felix M
----
Increase rent
	-Felix M
----
Increase rent
	-Felix M
----
Pension kicks in, reduce draw-down accordingly
	-Felix M
----
Continue to grow (hopefully) with inflation
	-Felix M
----
Remove Barbican fees from calculation
	-Felix M
----
Stepped draw-down correction to be somewhat in-line with inflation
	-Felix M
----
Stepped draw-down correction to be nearly in line with inflation
	-Felix M
----
Stepped draw-down correction to be in line with inflation
	-Felix M
----
Remove barbican fees from taxable income
	-Felix M
----
Half a year's growth
	-Felix M
----
Half a year's growth
	-Felix M
----
Assumes pension triple lock growth
	-Felix M
----
Keeping row 13 values the same for this backet
	-Felix M
----
Manual adjustment to keep the same as the previous 4 row 13 values - to avoid Sheets getting into a circular argument
	-Felix M
----
Stepped draw-down correction to be in line with inflation
	-Felix M
----
Stepped draw-down correction to be in line with inflation
	-Felix M
----
Stepped draw-down correction to be in line with inflation
	-Felix M
----
Rent increase
	-Felix M
----
Rent increase
	-Felix M
----
Rent increase
	-Felix M
----
Rent increase
	-Felix M
----
Rent increase
	-Felix M
----
Rent increase
	-Felix M
----
Draw-down reduces because of pension
	-Felix M</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5 year pay rise causes a jump in tax being paid
	-Felix M
----
Catch-up with inflation by calculating the required drawdown based on Pension Spending Growth defined in $J$3 - in this seventh period, it's 5 years . If last year's ISA drawdown was not zero and this year's is, add last year's drawdown amount to this year's pension drawdown to make up the difference when the ISAs run out
	-Felix M</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P16">
      <text>
        <t xml:space="preserve">Future vale of pension based on triple lock</t>
      </text>
    </comment>
    <comment authorId="0" ref="H31">
      <text>
        <t xml:space="preserve">5 year pay rise causes a jump in tax being paid
	-Felix M</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P16">
      <text>
        <t xml:space="preserve">Future vale of pension based on triple lock</t>
      </text>
    </comment>
  </commentList>
</comments>
</file>

<file path=xl/sharedStrings.xml><?xml version="1.0" encoding="utf-8"?>
<sst xmlns="http://schemas.openxmlformats.org/spreadsheetml/2006/main" count="218" uniqueCount="115">
  <si>
    <t>Welcome!</t>
  </si>
  <si>
    <r>
      <rPr>
        <rFont val="Merriweather"/>
        <b/>
        <color theme="1"/>
        <sz val="12.0"/>
      </rPr>
      <t xml:space="preserve">How do I use this spreadsheet? Follow these simple steps:
</t>
    </r>
    <r>
      <rPr>
        <rFont val="Merriweather"/>
        <color theme="1"/>
        <sz val="12.0"/>
      </rPr>
      <t xml:space="preserve">
</t>
    </r>
    <r>
      <rPr>
        <rFont val="Merriweather"/>
        <b/>
        <color rgb="FF8B2140"/>
        <sz val="12.0"/>
      </rPr>
      <t>1) Go to the 'Income' sheet and enter your details. If you have one,  enter your partner's details.
2) Go to 'Person 1 Draw-down' sheet and enter your Year of Birth, when you would like to start your retirement and when you think it'll end. Also, enter an amount that you would like to be left at the end of your retirement, the default being £0.
3) Click the 'Calculate Pension' button and wait for the calculation to complete. Detailed draw-down amounts are now visible in the 'Person 1 Draw-down' sheet. You can view the information monthly or annually by clicking the button. This is now your first insight into what your retirement might look like. If relevant, do the same for your partner and then also view your combined picture in the 'Combined Pensions' sheet.</t>
    </r>
    <r>
      <rPr>
        <rFont val="Merriweather"/>
        <color theme="1"/>
        <sz val="12.0"/>
      </rPr>
      <t xml:space="preserve">
You can refine your modelling by optionally changing your spending profile, your estimation of inflation , triple-lock and also selecting your inflation tracking mode
Further details are available in these accompanying videos. Enjoy exploring your future — it's all in your hands!</t>
    </r>
  </si>
  <si>
    <t>- Video 1 - Video 2 - Video 3</t>
  </si>
  <si>
    <r>
      <rPr>
        <rFont val="Merriweather"/>
        <b/>
        <color theme="1"/>
        <sz val="12.0"/>
      </rPr>
      <t>Assumptions</t>
    </r>
    <r>
      <rPr>
        <rFont val="Merriweather"/>
        <color theme="1"/>
        <sz val="12.0"/>
      </rPr>
      <t xml:space="preserve">: 
We assume that you are drawing down from either a FAD or UFPLS drawdown SIPP at a taxable rate of </t>
    </r>
    <r>
      <rPr>
        <rFont val="Merriweather"/>
        <b/>
        <color theme="1"/>
        <sz val="12.0"/>
      </rPr>
      <t>75%</t>
    </r>
    <r>
      <rPr>
        <rFont val="Merriweather"/>
        <color theme="1"/>
        <sz val="12.0"/>
      </rPr>
      <t xml:space="preserve"> / </t>
    </r>
    <r>
      <rPr>
        <rFont val="Merriweather"/>
        <b/>
        <color theme="1"/>
        <sz val="12.0"/>
      </rPr>
      <t>25%</t>
    </r>
    <r>
      <rPr>
        <rFont val="Merriweather"/>
        <color theme="1"/>
        <sz val="12.0"/>
      </rPr>
      <t xml:space="preserve"> (t</t>
    </r>
    <r>
      <rPr>
        <rFont val="Merriweather"/>
        <b/>
        <color theme="1"/>
        <sz val="12.0"/>
      </rPr>
      <t>axable</t>
    </r>
    <r>
      <rPr>
        <rFont val="Merriweather"/>
        <color theme="1"/>
        <sz val="12.0"/>
      </rPr>
      <t>/t</t>
    </r>
    <r>
      <rPr>
        <rFont val="Merriweather"/>
        <b/>
        <color theme="1"/>
        <sz val="12.0"/>
      </rPr>
      <t xml:space="preserve">axfree)
</t>
    </r>
    <r>
      <rPr>
        <rFont val="Merriweather"/>
        <color theme="1"/>
        <sz val="12.0"/>
      </rPr>
      <t>Need more here ...</t>
    </r>
  </si>
  <si>
    <t>Pensions and other income</t>
  </si>
  <si>
    <r>
      <rPr>
        <rFont val="Merriweather"/>
        <b/>
        <color rgb="FF8B2140"/>
        <sz val="17.0"/>
      </rPr>
      <t xml:space="preserve">Person </t>
    </r>
    <r>
      <rPr>
        <rFont val="Merriweather"/>
        <b/>
        <color rgb="FF8B2140"/>
        <sz val="17.0"/>
      </rPr>
      <t>1</t>
    </r>
  </si>
  <si>
    <r>
      <rPr>
        <rFont val="Merriweather"/>
        <b/>
        <color rgb="FF8B2140"/>
        <sz val="17.0"/>
      </rPr>
      <t xml:space="preserve">Person </t>
    </r>
    <r>
      <rPr>
        <rFont val="Merriweather"/>
        <b/>
        <color rgb="FF8B2140"/>
        <sz val="17.0"/>
      </rPr>
      <t>2</t>
    </r>
  </si>
  <si>
    <t>Value</t>
  </si>
  <si>
    <t>Growth Rate</t>
  </si>
  <si>
    <t>Year</t>
  </si>
  <si>
    <t>Pre-retirement savings, annual</t>
  </si>
  <si>
    <t>SIPP Total</t>
  </si>
  <si>
    <t>Annuity 1</t>
  </si>
  <si>
    <t>NA</t>
  </si>
  <si>
    <t>Annuity 2</t>
  </si>
  <si>
    <t>Annuity 3</t>
  </si>
  <si>
    <t>Defined Benefit Pension 1</t>
  </si>
  <si>
    <t>Defined Benefit Pension 2</t>
  </si>
  <si>
    <t>Defined Benefit Pension 3</t>
  </si>
  <si>
    <t>Draw-down</t>
  </si>
  <si>
    <t>Cash ISA</t>
  </si>
  <si>
    <t>Stocks &amp; Shares ISA</t>
  </si>
  <si>
    <t>Cash</t>
  </si>
  <si>
    <t>Starting rent (Net)</t>
  </si>
  <si>
    <t>State Pension Eligibility @ Projected Retirement Age</t>
  </si>
  <si>
    <t>State Pension @ 67</t>
  </si>
  <si>
    <t>Person 1 Pension Calculator</t>
  </si>
  <si>
    <t>Parameters</t>
  </si>
  <si>
    <t>Income Performance</t>
  </si>
  <si>
    <t>Year of Birth</t>
  </si>
  <si>
    <t>Start Draw-down In</t>
  </si>
  <si>
    <t>End Draw-down By</t>
  </si>
  <si>
    <t>Private Pension Eligible Year (age 55)</t>
  </si>
  <si>
    <t>State Pension Eligible Year</t>
  </si>
  <si>
    <t>Final Year Percentage (keep hidden)</t>
  </si>
  <si>
    <t>First Year Estimated Income</t>
  </si>
  <si>
    <t>Net</t>
  </si>
  <si>
    <t xml:space="preserve"> |                      Gross</t>
  </si>
  <si>
    <t xml:space="preserve">Estimated Income @ 70
</t>
  </si>
  <si>
    <t>Net Real</t>
  </si>
  <si>
    <t xml:space="preserve"> |   Nominal Gross</t>
  </si>
  <si>
    <t>Estimated Income @ 80</t>
  </si>
  <si>
    <t xml:space="preserve">Final Year Estimated Income
</t>
  </si>
  <si>
    <t>Final Year SIPP Balance Target</t>
  </si>
  <si>
    <t>Final Year SIPP Balance</t>
  </si>
  <si>
    <t>Optional annual spending reduction from age 70</t>
  </si>
  <si>
    <t>Optional annual spending reduction from age 80</t>
  </si>
  <si>
    <t>Inflation</t>
  </si>
  <si>
    <t>State Pension Growth (triple-lock)</t>
  </si>
  <si>
    <t>Inflation tracking mode</t>
  </si>
  <si>
    <t>Smooth</t>
  </si>
  <si>
    <t>Pension 1 Draw-down</t>
  </si>
  <si>
    <t>Age</t>
  </si>
  <si>
    <t>ONGOING ASSET VALUES</t>
  </si>
  <si>
    <t>SIPP Value</t>
  </si>
  <si>
    <t>Annual SIPP Draw-down</t>
  </si>
  <si>
    <t>Taxable draw-down (75%)</t>
  </si>
  <si>
    <t>Tax-free draw-down (25%)</t>
  </si>
  <si>
    <t>Accumulated tax free draw-down</t>
  </si>
  <si>
    <t>Monthly SIPP draw-down</t>
  </si>
  <si>
    <t>Annual ISAs draw-down</t>
  </si>
  <si>
    <t>Monthly ISA draw-down</t>
  </si>
  <si>
    <t>Annual Rent</t>
  </si>
  <si>
    <t>Monthly Rent</t>
  </si>
  <si>
    <t>Annual State Pension</t>
  </si>
  <si>
    <t>Monthly State Pension</t>
  </si>
  <si>
    <t>Annual Annuities</t>
  </si>
  <si>
    <t>Monthly Annuity</t>
  </si>
  <si>
    <t>Annual DB Pensions</t>
  </si>
  <si>
    <t>Monthly DB Pension</t>
  </si>
  <si>
    <t>Annual Cash</t>
  </si>
  <si>
    <t>Monthly Cash</t>
  </si>
  <si>
    <t>Total Annual Income</t>
  </si>
  <si>
    <t>Total Monthly Income</t>
  </si>
  <si>
    <t>Performance against inflation</t>
  </si>
  <si>
    <t>Annual SIPP Draw-down Rate</t>
  </si>
  <si>
    <t>Taxable income</t>
  </si>
  <si>
    <t>Tax</t>
  </si>
  <si>
    <t>Effective tax rate</t>
  </si>
  <si>
    <t>Total Net Income</t>
  </si>
  <si>
    <t>Net Income Monthly</t>
  </si>
  <si>
    <t>NPV</t>
  </si>
  <si>
    <t>Net NPV</t>
  </si>
  <si>
    <t>Person 2 Pension Calculator</t>
  </si>
  <si>
    <t>ISA</t>
  </si>
  <si>
    <t>Rent</t>
  </si>
  <si>
    <t>State Pension</t>
  </si>
  <si>
    <t>Annuities</t>
  </si>
  <si>
    <t>DB Pensions</t>
  </si>
  <si>
    <t>Pension 2 Draw-down</t>
  </si>
  <si>
    <t>Annual ISAs Draw-down</t>
  </si>
  <si>
    <t>Combined Income</t>
  </si>
  <si>
    <t>First Year's combined income before tax</t>
  </si>
  <si>
    <t>First Year's combined income after tax</t>
  </si>
  <si>
    <t>First Year's tax</t>
  </si>
  <si>
    <t>Last Year's combined income net present amount</t>
  </si>
  <si>
    <t>Person 1 Age</t>
  </si>
  <si>
    <t>Person 2 Age</t>
  </si>
  <si>
    <t>INCOME PERFORMANCE</t>
  </si>
  <si>
    <t>Person 1 Net NPV</t>
  </si>
  <si>
    <t>Person 2 Net NPV</t>
  </si>
  <si>
    <t>Total Net NPV</t>
  </si>
  <si>
    <t>Person 1 Total Annual Income</t>
  </si>
  <si>
    <t>Person 2 Total Annual Income</t>
  </si>
  <si>
    <t>Total Income</t>
  </si>
  <si>
    <t>Person 1 Tax</t>
  </si>
  <si>
    <t>Person 2 Tax</t>
  </si>
  <si>
    <t>Total Tax</t>
  </si>
  <si>
    <t>Person 1 Net Income</t>
  </si>
  <si>
    <t>Person 2 Net Income</t>
  </si>
  <si>
    <t>License Key</t>
  </si>
  <si>
    <t>1JHE-0U5P-NYPC-JA12</t>
  </si>
  <si>
    <t>Total Pension</t>
  </si>
  <si>
    <t>Net Income Total</t>
  </si>
  <si>
    <t>Tax Total</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</si>
</sst>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809]#,##0"/>
    <numFmt numFmtId="165" formatCode="[$£-809]#,##0.000"/>
    <numFmt numFmtId="166" formatCode="[$£-809]#,##0.00"/>
    <numFmt numFmtId="167" formatCode="0.0%"/>
    <numFmt numFmtId="168" formatCode="mmmm yyyy"/>
    <numFmt numFmtId="169" formatCode="£#,##0"/>
  </numFmts>
  <fonts count="40">
    <font>
      <sz val="10.0"/>
      <color rgb="FF000000"/>
      <name val="Arial"/>
      <scheme val="minor"/>
    </font>
    <font>
      <color theme="1"/>
      <name val="Arial"/>
      <scheme val="minor"/>
    </font>
    <font>
      <b/>
      <sz val="21.0"/>
      <color theme="1"/>
      <name val="Merriweather"/>
    </font>
    <font>
      <sz val="12.0"/>
      <color theme="1"/>
      <name val="Merriweather"/>
    </font>
    <font>
      <color theme="1"/>
      <name val="Verdana"/>
    </font>
    <font>
      <sz val="15.0"/>
      <color theme="1"/>
      <name val="Merriweather"/>
    </font>
    <font>
      <sz val="15.0"/>
      <color rgb="FF8B2140"/>
      <name val="Merriweather"/>
    </font>
    <font>
      <color theme="1"/>
      <name val="Merriweather"/>
    </font>
    <font>
      <b/>
      <sz val="19.0"/>
      <color theme="1"/>
      <name val="Merriweather"/>
    </font>
    <font>
      <b/>
      <sz val="17.0"/>
      <color rgb="FF8B2140"/>
      <name val="Merriweather"/>
    </font>
    <font>
      <sz val="11.0"/>
      <color rgb="FF8B2140"/>
      <name val="Merriweather"/>
    </font>
    <font>
      <b/>
      <sz val="11.0"/>
      <color rgb="FF8B2140"/>
      <name val="Merriweather"/>
    </font>
    <font/>
    <font>
      <b/>
      <sz val="16.0"/>
      <color theme="1"/>
      <name val="Playfair Display"/>
    </font>
    <font>
      <b/>
      <sz val="21.0"/>
      <color theme="1"/>
      <name val="Playfair Display"/>
    </font>
    <font>
      <sz val="13.0"/>
      <color theme="1"/>
      <name val="Arial"/>
      <scheme val="minor"/>
    </font>
    <font>
      <b/>
      <color theme="1"/>
      <name val="Arial"/>
      <scheme val="minor"/>
    </font>
    <font>
      <b/>
      <sz val="11.0"/>
      <color rgb="FFFFFFFF"/>
      <name val="Merriweather"/>
    </font>
    <font>
      <sz val="11.0"/>
      <color rgb="FFFCF1E5"/>
      <name val="Merriweather"/>
    </font>
    <font>
      <b/>
      <color rgb="FFFCF1E5"/>
      <name val="Arial"/>
      <scheme val="minor"/>
    </font>
    <font>
      <sz val="10.0"/>
      <color rgb="FFFFFFFF"/>
      <name val="Merriweather"/>
    </font>
    <font>
      <b/>
      <sz val="18.0"/>
      <color theme="1"/>
      <name val="Merriweather"/>
    </font>
    <font>
      <sz val="11.0"/>
      <color theme="1"/>
      <name val="Merriweather"/>
    </font>
    <font>
      <b/>
      <color rgb="FFFFFFFF"/>
      <name val="Merriweather"/>
    </font>
    <font>
      <b/>
      <color rgb="FFFCF1E5"/>
      <name val="Merriweather"/>
    </font>
    <font>
      <color rgb="FFFCF1E5"/>
      <name val="Arial"/>
      <scheme val="minor"/>
    </font>
    <font>
      <color rgb="FF8B2140"/>
      <name val="Merriweather"/>
    </font>
    <font>
      <b/>
      <color rgb="FF000000"/>
      <name val="Merriweather"/>
    </font>
    <font>
      <b/>
      <sz val="10.0"/>
      <color rgb="FF8B2140"/>
      <name val="Merriweather"/>
    </font>
    <font>
      <b/>
      <color theme="1"/>
      <name val="Merriweather"/>
    </font>
    <font>
      <b/>
      <color rgb="FF8B2140"/>
      <name val="Merriweather"/>
    </font>
    <font>
      <b/>
      <sz val="23.0"/>
      <color theme="1"/>
      <name val="Playfair Display"/>
    </font>
    <font>
      <b/>
      <sz val="12.0"/>
      <color theme="1"/>
      <name val="Playfair Display"/>
    </font>
    <font>
      <b/>
      <sz val="12.0"/>
      <color theme="1"/>
      <name val="Merriweather"/>
    </font>
    <font>
      <b/>
      <color rgb="FF8B2140"/>
      <name val="Arial"/>
      <scheme val="minor"/>
    </font>
    <font>
      <sz val="13.0"/>
      <color rgb="FF000000"/>
      <name val="Arial"/>
      <scheme val="minor"/>
    </font>
    <font>
      <b/>
      <sz val="12.0"/>
      <color rgb="FF000000"/>
      <name val="Arial"/>
      <scheme val="minor"/>
    </font>
    <font>
      <sz val="13.0"/>
      <color rgb="FF8B2140"/>
      <name val="Arial"/>
      <scheme val="minor"/>
    </font>
    <font>
      <sz val="13.0"/>
      <color rgb="FFFCF1E5"/>
      <name val="Arial"/>
      <scheme val="minor"/>
    </font>
    <font>
      <b/>
      <sz val="12.0"/>
      <color rgb="FFFCF1E5"/>
      <name val="Arial"/>
      <scheme val="minor"/>
    </font>
  </fonts>
  <fills count="6">
    <fill>
      <patternFill patternType="none"/>
    </fill>
    <fill>
      <patternFill patternType="lightGray"/>
    </fill>
    <fill>
      <patternFill patternType="solid">
        <fgColor rgb="FFEEDFCE"/>
        <bgColor rgb="FFEEDFCE"/>
      </patternFill>
    </fill>
    <fill>
      <patternFill patternType="solid">
        <fgColor rgb="FFFCF1E5"/>
        <bgColor rgb="FFFCF1E5"/>
      </patternFill>
    </fill>
    <fill>
      <patternFill patternType="solid">
        <fgColor rgb="FF8B2140"/>
        <bgColor rgb="FF8B2140"/>
      </patternFill>
    </fill>
    <fill>
      <patternFill patternType="solid">
        <fgColor rgb="FF6AA84F"/>
        <bgColor rgb="FF6AA84F"/>
      </patternFill>
    </fill>
  </fills>
  <borders count="28">
    <border/>
    <border>
      <right style="thin">
        <color rgb="FFEEDFCE"/>
      </right>
      <top style="thin">
        <color rgb="FFEEDFCE"/>
      </top>
      <bottom style="thin">
        <color rgb="FFEEDFCE"/>
      </bottom>
    </border>
    <border>
      <left style="thin">
        <color rgb="FFFCF1E5"/>
      </left>
      <right style="thin">
        <color rgb="FFFCF1E5"/>
      </right>
      <top style="thin">
        <color rgb="FFFCF1E5"/>
      </top>
      <bottom style="thin">
        <color rgb="FFFCF1E5"/>
      </bottom>
    </border>
    <border>
      <top style="thin">
        <color rgb="FFEEDFCE"/>
      </top>
      <bottom style="thin">
        <color rgb="FFEEDFCE"/>
      </bottom>
    </border>
    <border>
      <left style="thin">
        <color rgb="FFEEDFCE"/>
      </left>
      <right style="thin">
        <color rgb="FFEEDFCE"/>
      </right>
      <top style="thin">
        <color rgb="FFEEDFCE"/>
      </top>
      <bottom style="thin">
        <color rgb="FFEEDFCE"/>
      </bottom>
    </border>
    <border>
      <right style="thin">
        <color rgb="FFEEDFCE"/>
      </right>
      <bottom style="thin">
        <color rgb="FFEEDFCE"/>
      </bottom>
    </border>
    <border>
      <left style="thin">
        <color rgb="FFEEDFCE"/>
      </left>
      <bottom style="thin">
        <color rgb="FFEEDFCE"/>
      </bottom>
    </border>
    <border>
      <left style="thin">
        <color rgb="FFFCF1E5"/>
      </left>
      <right style="thin">
        <color rgb="FFFCF1E5"/>
      </right>
      <top style="thin">
        <color rgb="FFFCF1E5"/>
      </top>
    </border>
    <border>
      <right style="thin">
        <color rgb="FFFCF1E5"/>
      </right>
      <top style="thin">
        <color rgb="FFFCF1E5"/>
      </top>
      <bottom style="thin">
        <color rgb="FFFCF1E5"/>
      </bottom>
    </border>
    <border>
      <left style="thin">
        <color rgb="FFFCF1E5"/>
      </left>
      <top style="thin">
        <color rgb="FFFCF1E5"/>
      </top>
      <bottom style="thin">
        <color rgb="FFFCF1E5"/>
      </bottom>
    </border>
    <border>
      <left style="thin">
        <color rgb="FF8B2140"/>
      </left>
      <right style="thin">
        <color rgb="FF8B2140"/>
      </right>
      <top style="thin">
        <color rgb="FF8B2140"/>
      </top>
      <bottom style="thin">
        <color rgb="FF8B2140"/>
      </bottom>
    </border>
    <border>
      <left style="thin">
        <color rgb="FFFCF1E5"/>
      </left>
      <right style="thin">
        <color rgb="FFFCF1E5"/>
      </right>
    </border>
    <border>
      <left style="thin">
        <color rgb="FFFCF1E5"/>
      </left>
      <right style="thin">
        <color rgb="FFFCF1E5"/>
      </right>
      <bottom style="thin">
        <color rgb="FFFCF1E5"/>
      </bottom>
    </border>
    <border>
      <top style="thin">
        <color rgb="FFFCF1E5"/>
      </top>
      <bottom style="thin">
        <color rgb="FFFCF1E5"/>
      </bottom>
    </border>
    <border>
      <left style="thin">
        <color rgb="FFEEDFCE"/>
      </left>
      <top style="thin">
        <color rgb="FFEEDFCE"/>
      </top>
      <bottom style="thin">
        <color rgb="FFEEDFCE"/>
      </bottom>
    </border>
    <border>
      <right style="thin">
        <color rgb="FFFCF1E5"/>
      </right>
      <top style="thin">
        <color rgb="FFFCF1E5"/>
      </top>
    </border>
    <border>
      <left style="thin">
        <color rgb="FFFCF1E5"/>
      </left>
      <bottom style="thin">
        <color rgb="FFFCF1E5"/>
      </bottom>
    </border>
    <border>
      <left style="thin">
        <color rgb="FFEEDFCE"/>
      </left>
      <top style="thin">
        <color rgb="FFEEDFCE"/>
      </top>
    </border>
    <border>
      <right style="thin">
        <color rgb="FFFCF1E5"/>
      </right>
      <bottom style="thin">
        <color rgb="FFFCF1E5"/>
      </bottom>
    </border>
    <border>
      <top style="thin">
        <color rgb="FFEEDFCE"/>
      </top>
    </border>
    <border>
      <right style="thin">
        <color rgb="FFEEDFCE"/>
      </right>
      <top style="thin">
        <color rgb="FFEEDFCE"/>
      </top>
    </border>
    <border>
      <right style="thin">
        <color rgb="FFEEDFCE"/>
      </right>
    </border>
    <border>
      <left style="thin">
        <color rgb="FFEEDFCE"/>
      </left>
      <right style="thin">
        <color rgb="FFEEDFCE"/>
      </right>
      <bottom style="thin">
        <color rgb="FFEEDFCE"/>
      </bottom>
    </border>
    <border>
      <left style="thin">
        <color rgb="FFFCF1E5"/>
      </left>
    </border>
    <border>
      <right style="thin">
        <color rgb="FFFCF1E5"/>
      </right>
    </border>
    <border>
      <bottom style="thin">
        <color rgb="FFEEDFCE"/>
      </bottom>
    </border>
    <border>
      <left style="thin">
        <color rgb="FFEEDFCE"/>
      </left>
      <right style="thin">
        <color rgb="FFEEDFCE"/>
      </right>
      <top style="thin">
        <color rgb="FFEEDFCE"/>
      </top>
    </border>
    <border>
      <left style="thin">
        <color rgb="FFEEDFCE"/>
      </left>
      <right style="thin">
        <color rgb="FFEEDFCE"/>
      </right>
    </border>
  </borders>
  <cellStyleXfs count="1">
    <xf borderId="0" fillId="0" fontId="0" numFmtId="0" applyAlignment="1" applyFont="1"/>
  </cellStyleXfs>
  <cellXfs count="208">
    <xf borderId="0" fillId="0" fontId="0" numFmtId="0" xfId="0" applyAlignment="1" applyFont="1">
      <alignment readingOrder="0" shrinkToFit="0" vertical="bottom" wrapText="0"/>
    </xf>
    <xf borderId="0" fillId="2" fontId="1" numFmtId="0" xfId="0" applyFill="1" applyFont="1"/>
    <xf borderId="0" fillId="3" fontId="2" numFmtId="0" xfId="0" applyAlignment="1" applyFill="1" applyFont="1">
      <alignment horizontal="center" readingOrder="0" shrinkToFit="0" vertical="center" wrapText="1"/>
    </xf>
    <xf borderId="1" fillId="2" fontId="1" numFmtId="0" xfId="0" applyBorder="1" applyFont="1"/>
    <xf borderId="2" fillId="3" fontId="3" numFmtId="0" xfId="0" applyAlignment="1" applyBorder="1" applyFont="1">
      <alignment horizontal="left" readingOrder="0" shrinkToFit="0" wrapText="1"/>
    </xf>
    <xf borderId="1" fillId="2" fontId="4" numFmtId="0" xfId="0" applyBorder="1" applyFont="1"/>
    <xf borderId="2" fillId="3" fontId="5" numFmtId="0" xfId="0" applyBorder="1" applyFont="1"/>
    <xf borderId="3" fillId="2" fontId="1" numFmtId="0" xfId="0" applyBorder="1" applyFont="1"/>
    <xf borderId="2" fillId="3" fontId="3" numFmtId="0" xfId="0" applyAlignment="1" applyBorder="1" applyFont="1">
      <alignment readingOrder="0" shrinkToFit="0" wrapText="1"/>
    </xf>
    <xf borderId="2" fillId="3" fontId="6" numFmtId="0" xfId="0" applyAlignment="1" applyBorder="1" applyFont="1">
      <alignment readingOrder="0"/>
    </xf>
    <xf borderId="4" fillId="2" fontId="1" numFmtId="0" xfId="0" applyBorder="1" applyFont="1"/>
    <xf borderId="5" fillId="2" fontId="7" numFmtId="0" xfId="0" applyBorder="1" applyFont="1"/>
    <xf borderId="5" fillId="2" fontId="8" numFmtId="0" xfId="0" applyAlignment="1" applyBorder="1" applyFont="1">
      <alignment vertical="top"/>
    </xf>
    <xf borderId="5" fillId="2" fontId="9" numFmtId="0" xfId="0" applyBorder="1" applyFont="1"/>
    <xf borderId="6" fillId="2" fontId="7" numFmtId="0" xfId="0" applyBorder="1" applyFont="1"/>
    <xf borderId="2" fillId="3" fontId="10" numFmtId="0" xfId="0" applyAlignment="1" applyBorder="1" applyFont="1">
      <alignment horizontal="right" readingOrder="0" shrinkToFit="0" vertical="center" wrapText="1"/>
    </xf>
    <xf borderId="7" fillId="3" fontId="11" numFmtId="0" xfId="0" applyAlignment="1" applyBorder="1" applyFont="1">
      <alignment horizontal="center" readingOrder="0" shrinkToFit="0" vertical="center" wrapText="1"/>
    </xf>
    <xf borderId="2" fillId="3" fontId="11" numFmtId="0" xfId="0" applyAlignment="1" applyBorder="1" applyFont="1">
      <alignment horizontal="center" readingOrder="0" shrinkToFit="0" vertical="center" wrapText="1"/>
    </xf>
    <xf borderId="8" fillId="3" fontId="10" numFmtId="0" xfId="0" applyAlignment="1" applyBorder="1" applyFont="1">
      <alignment horizontal="right" readingOrder="0" shrinkToFit="0" vertical="center" wrapText="1"/>
    </xf>
    <xf borderId="2" fillId="3" fontId="10" numFmtId="0" xfId="0" applyAlignment="1" applyBorder="1" applyFont="1">
      <alignment horizontal="left" readingOrder="0" shrinkToFit="0" vertical="center" wrapText="1"/>
    </xf>
    <xf borderId="9" fillId="3" fontId="10" numFmtId="0" xfId="0" applyAlignment="1" applyBorder="1" applyFont="1">
      <alignment horizontal="right" readingOrder="0" shrinkToFit="0" vertical="center" wrapText="1"/>
    </xf>
    <xf borderId="10" fillId="3" fontId="11" numFmtId="164" xfId="0" applyAlignment="1" applyBorder="1" applyFont="1" applyNumberFormat="1">
      <alignment horizontal="left" readingOrder="0" shrinkToFit="0" vertical="center" wrapText="1"/>
    </xf>
    <xf borderId="10" fillId="3" fontId="11" numFmtId="10" xfId="0" applyAlignment="1" applyBorder="1" applyFont="1" applyNumberFormat="1">
      <alignment horizontal="center" readingOrder="0" shrinkToFit="0" vertical="center" wrapText="1"/>
    </xf>
    <xf borderId="11" fillId="3" fontId="11" numFmtId="164" xfId="0" applyAlignment="1" applyBorder="1" applyFont="1" applyNumberFormat="1">
      <alignment horizontal="right" readingOrder="0" shrinkToFit="0" vertical="center" wrapText="1"/>
    </xf>
    <xf borderId="12" fillId="3" fontId="10" numFmtId="0" xfId="0" applyAlignment="1" applyBorder="1" applyFont="1">
      <alignment horizontal="right" readingOrder="0" shrinkToFit="0" vertical="center" wrapText="1"/>
    </xf>
    <xf borderId="7" fillId="3" fontId="10" numFmtId="0" xfId="0" applyAlignment="1" applyBorder="1" applyFont="1">
      <alignment horizontal="right" readingOrder="0" shrinkToFit="0" vertical="center" wrapText="1"/>
    </xf>
    <xf borderId="13" fillId="3" fontId="11" numFmtId="10" xfId="0" applyAlignment="1" applyBorder="1" applyFont="1" applyNumberFormat="1">
      <alignment horizontal="center" readingOrder="0" shrinkToFit="0" vertical="center" wrapText="1"/>
    </xf>
    <xf borderId="10" fillId="3" fontId="11" numFmtId="0" xfId="0" applyAlignment="1" applyBorder="1" applyFont="1">
      <alignment horizontal="left" readingOrder="0" shrinkToFit="0" vertical="center" wrapText="1"/>
    </xf>
    <xf borderId="8" fillId="3" fontId="11" numFmtId="10" xfId="0" applyAlignment="1" applyBorder="1" applyFont="1" applyNumberFormat="1">
      <alignment horizontal="center" readingOrder="0" shrinkToFit="0" vertical="center" wrapText="1"/>
    </xf>
    <xf borderId="11" fillId="3" fontId="10" numFmtId="0" xfId="0" applyAlignment="1" applyBorder="1" applyFont="1">
      <alignment horizontal="left" readingOrder="0" shrinkToFit="0" vertical="center" wrapText="1"/>
    </xf>
    <xf borderId="11" fillId="3" fontId="11" numFmtId="164" xfId="0" applyAlignment="1" applyBorder="1" applyFont="1" applyNumberFormat="1">
      <alignment horizontal="left" readingOrder="0" shrinkToFit="0" vertical="center" wrapText="1"/>
    </xf>
    <xf borderId="14" fillId="2" fontId="7" numFmtId="0" xfId="0" applyAlignment="1" applyBorder="1" applyFont="1">
      <alignment vertical="bottom"/>
    </xf>
    <xf borderId="2" fillId="3" fontId="10" numFmtId="0" xfId="0" applyAlignment="1" applyBorder="1" applyFont="1">
      <alignment horizontal="left" readingOrder="0" shrinkToFit="0" vertical="bottom" wrapText="1"/>
    </xf>
    <xf borderId="2" fillId="3" fontId="10" numFmtId="0" xfId="0" applyAlignment="1" applyBorder="1" applyFont="1">
      <alignment horizontal="right" readingOrder="0" shrinkToFit="0" vertical="bottom" wrapText="1"/>
    </xf>
    <xf borderId="11" fillId="3" fontId="10" numFmtId="0" xfId="0" applyAlignment="1" applyBorder="1" applyFont="1">
      <alignment horizontal="right" readingOrder="0" shrinkToFit="0" vertical="bottom" wrapText="1"/>
    </xf>
    <xf borderId="7" fillId="3" fontId="10" numFmtId="0" xfId="0" applyAlignment="1" applyBorder="1" applyFont="1">
      <alignment horizontal="right" readingOrder="0" shrinkToFit="0" vertical="bottom" wrapText="1"/>
    </xf>
    <xf borderId="2" fillId="3" fontId="11" numFmtId="0" xfId="0" applyAlignment="1" applyBorder="1" applyFont="1">
      <alignment horizontal="center" readingOrder="0" shrinkToFit="0" vertical="bottom" wrapText="0"/>
    </xf>
    <xf borderId="5" fillId="2" fontId="7" numFmtId="0" xfId="0" applyAlignment="1" applyBorder="1" applyFont="1">
      <alignment vertical="bottom"/>
    </xf>
    <xf borderId="14" fillId="2" fontId="7" numFmtId="0" xfId="0" applyBorder="1" applyFont="1"/>
    <xf borderId="11" fillId="3" fontId="10" numFmtId="0" xfId="0" applyAlignment="1" applyBorder="1" applyFont="1">
      <alignment horizontal="right" readingOrder="0" shrinkToFit="0" vertical="center" wrapText="1"/>
    </xf>
    <xf borderId="2" fillId="3" fontId="11" numFmtId="164" xfId="0" applyAlignment="1" applyBorder="1" applyFont="1" applyNumberFormat="1">
      <alignment horizontal="left" readingOrder="0" shrinkToFit="0" vertical="center" wrapText="1"/>
    </xf>
    <xf borderId="12" fillId="3" fontId="11" numFmtId="164" xfId="0" applyAlignment="1" applyBorder="1" applyFont="1" applyNumberFormat="1">
      <alignment horizontal="right" readingOrder="0" shrinkToFit="0" vertical="center" wrapText="1"/>
    </xf>
    <xf borderId="15" fillId="3" fontId="11" numFmtId="164" xfId="0" applyAlignment="1" applyBorder="1" applyFont="1" applyNumberFormat="1">
      <alignment horizontal="right" readingOrder="0" shrinkToFit="0" vertical="center" wrapText="1"/>
    </xf>
    <xf borderId="16" fillId="3" fontId="10" numFmtId="0" xfId="0" applyAlignment="1" applyBorder="1" applyFont="1">
      <alignment horizontal="right" readingOrder="0" shrinkToFit="0" vertical="center" wrapText="1"/>
    </xf>
    <xf borderId="17" fillId="2" fontId="7" numFmtId="0" xfId="0" applyBorder="1" applyFont="1"/>
    <xf borderId="9" fillId="3" fontId="10" numFmtId="0" xfId="0" applyAlignment="1" applyBorder="1" applyFont="1">
      <alignment horizontal="left" readingOrder="0" shrinkToFit="0" vertical="center" wrapText="1"/>
    </xf>
    <xf borderId="13" fillId="0" fontId="12" numFmtId="0" xfId="0" applyBorder="1" applyFont="1"/>
    <xf borderId="8" fillId="0" fontId="12" numFmtId="0" xfId="0" applyBorder="1" applyFont="1"/>
    <xf borderId="10" fillId="3" fontId="11" numFmtId="9" xfId="0" applyAlignment="1" applyBorder="1" applyFont="1" applyNumberFormat="1">
      <alignment horizontal="center" readingOrder="0" shrinkToFit="0" vertical="center" wrapText="1"/>
    </xf>
    <xf borderId="18" fillId="3" fontId="10" numFmtId="0" xfId="0" applyAlignment="1" applyBorder="1" applyFont="1">
      <alignment horizontal="right" readingOrder="0" shrinkToFit="0" vertical="center" wrapText="1"/>
    </xf>
    <xf borderId="12" fillId="3" fontId="10" numFmtId="0" xfId="0" applyAlignment="1" applyBorder="1" applyFont="1">
      <alignment horizontal="left" readingOrder="0" shrinkToFit="0" vertical="center" wrapText="1"/>
    </xf>
    <xf borderId="4" fillId="2" fontId="7" numFmtId="0" xfId="0" applyBorder="1" applyFont="1"/>
    <xf borderId="1" fillId="2" fontId="13" numFmtId="0" xfId="0" applyAlignment="1" applyBorder="1" applyFont="1">
      <alignment horizontal="left" readingOrder="0" vertical="bottom"/>
    </xf>
    <xf borderId="14" fillId="2" fontId="14" numFmtId="0" xfId="0" applyAlignment="1" applyBorder="1" applyFont="1">
      <alignment horizontal="left" readingOrder="0" vertical="top"/>
    </xf>
    <xf borderId="3" fillId="0" fontId="12" numFmtId="0" xfId="0" applyBorder="1" applyFont="1"/>
    <xf borderId="1" fillId="0" fontId="12" numFmtId="0" xfId="0" applyBorder="1" applyFont="1"/>
    <xf borderId="17" fillId="2" fontId="13" numFmtId="0" xfId="0" applyAlignment="1" applyBorder="1" applyFont="1">
      <alignment horizontal="left" readingOrder="0" vertical="bottom"/>
    </xf>
    <xf borderId="17" fillId="2" fontId="15" numFmtId="0" xfId="0" applyAlignment="1" applyBorder="1" applyFont="1">
      <alignment horizontal="center" readingOrder="0" vertical="center"/>
    </xf>
    <xf borderId="19" fillId="0" fontId="12" numFmtId="0" xfId="0" applyBorder="1" applyFont="1"/>
    <xf borderId="20" fillId="0" fontId="12" numFmtId="0" xfId="0" applyBorder="1" applyFont="1"/>
    <xf borderId="4" fillId="2" fontId="15" numFmtId="0" xfId="0" applyAlignment="1" applyBorder="1" applyFont="1">
      <alignment horizontal="center" readingOrder="0" vertical="center"/>
    </xf>
    <xf borderId="2" fillId="3" fontId="16" numFmtId="0" xfId="0" applyAlignment="1" applyBorder="1" applyFont="1">
      <alignment readingOrder="0" shrinkToFit="0" wrapText="1"/>
    </xf>
    <xf borderId="19" fillId="4" fontId="17" numFmtId="0" xfId="0" applyAlignment="1" applyBorder="1" applyFill="1" applyFont="1">
      <alignment horizontal="center" readingOrder="0" shrinkToFit="0" vertical="center" wrapText="1"/>
    </xf>
    <xf borderId="1" fillId="2" fontId="15" numFmtId="0" xfId="0" applyAlignment="1" applyBorder="1" applyFont="1">
      <alignment horizontal="center" readingOrder="0" vertical="center"/>
    </xf>
    <xf borderId="12" fillId="3" fontId="16" numFmtId="0" xfId="0" applyAlignment="1" applyBorder="1" applyFont="1">
      <alignment readingOrder="0" shrinkToFit="0" wrapText="1"/>
    </xf>
    <xf borderId="4" fillId="4" fontId="17" numFmtId="0" xfId="0" applyAlignment="1" applyBorder="1" applyFont="1">
      <alignment horizontal="center" readingOrder="0" shrinkToFit="0" vertical="center" wrapText="1"/>
    </xf>
    <xf borderId="18" fillId="3" fontId="16" numFmtId="0" xfId="0" applyAlignment="1" applyBorder="1" applyFont="1">
      <alignment readingOrder="0" shrinkToFit="0" wrapText="1"/>
    </xf>
    <xf borderId="3" fillId="4" fontId="17" numFmtId="0" xfId="0" applyAlignment="1" applyBorder="1" applyFont="1">
      <alignment horizontal="center" readingOrder="0" shrinkToFit="0" vertical="center" wrapText="1"/>
    </xf>
    <xf borderId="9" fillId="3" fontId="18" numFmtId="165" xfId="0" applyAlignment="1" applyBorder="1" applyFont="1" applyNumberFormat="1">
      <alignment horizontal="left" readingOrder="0" shrinkToFit="0" vertical="center" wrapText="1"/>
    </xf>
    <xf borderId="16" fillId="3" fontId="19" numFmtId="0" xfId="0" applyAlignment="1" applyBorder="1" applyFont="1">
      <alignment readingOrder="0" shrinkToFit="0" wrapText="1"/>
    </xf>
    <xf borderId="12" fillId="3" fontId="19" numFmtId="0" xfId="0" applyAlignment="1" applyBorder="1" applyFont="1">
      <alignment readingOrder="0" shrinkToFit="0" wrapText="1"/>
    </xf>
    <xf borderId="9" fillId="3" fontId="10" numFmtId="165" xfId="0" applyAlignment="1" applyBorder="1" applyFont="1" applyNumberFormat="1">
      <alignment horizontal="left" readingOrder="0" shrinkToFit="0" vertical="center" wrapText="1"/>
    </xf>
    <xf borderId="9" fillId="3" fontId="11" numFmtId="164" xfId="0" applyAlignment="1" applyBorder="1" applyFont="1" applyNumberFormat="1">
      <alignment horizontal="right" readingOrder="0" shrinkToFit="0" vertical="center" wrapText="1"/>
    </xf>
    <xf borderId="2" fillId="3" fontId="11" numFmtId="164" xfId="0" applyAlignment="1" applyBorder="1" applyFont="1" applyNumberFormat="1">
      <alignment horizontal="right" readingOrder="0" shrinkToFit="0" vertical="center" wrapText="1"/>
    </xf>
    <xf borderId="2" fillId="3" fontId="11" numFmtId="165" xfId="0" applyAlignment="1" applyBorder="1" applyFont="1" applyNumberFormat="1">
      <alignment horizontal="left" readingOrder="0" shrinkToFit="0" vertical="center" wrapText="1"/>
    </xf>
    <xf borderId="2" fillId="3" fontId="11" numFmtId="164" xfId="0" applyAlignment="1" applyBorder="1" applyFont="1" applyNumberFormat="1">
      <alignment horizontal="center" readingOrder="0" shrinkToFit="0" vertical="center" wrapText="1"/>
    </xf>
    <xf borderId="3" fillId="2" fontId="13" numFmtId="0" xfId="0" applyAlignment="1" applyBorder="1" applyFont="1">
      <alignment horizontal="left" readingOrder="0" vertical="bottom"/>
    </xf>
    <xf borderId="9" fillId="3" fontId="10" numFmtId="165" xfId="0" applyAlignment="1" applyBorder="1" applyFont="1" applyNumberFormat="1">
      <alignment horizontal="left" readingOrder="0" shrinkToFit="0" vertical="center" wrapText="1"/>
    </xf>
    <xf borderId="9" fillId="3" fontId="11" numFmtId="166" xfId="0" applyAlignment="1" applyBorder="1" applyFont="1" applyNumberFormat="1">
      <alignment horizontal="right" readingOrder="0" shrinkToFit="0" vertical="center" wrapText="1"/>
    </xf>
    <xf borderId="18" fillId="3" fontId="16" numFmtId="10" xfId="0" applyAlignment="1" applyBorder="1" applyFont="1" applyNumberFormat="1">
      <alignment readingOrder="0" shrinkToFit="0" wrapText="1"/>
    </xf>
    <xf borderId="18" fillId="3" fontId="16" numFmtId="166" xfId="0" applyAlignment="1" applyBorder="1" applyFont="1" applyNumberFormat="1">
      <alignment readingOrder="0" shrinkToFit="0" wrapText="1"/>
    </xf>
    <xf borderId="12" fillId="3" fontId="16" numFmtId="10" xfId="0" applyAlignment="1" applyBorder="1" applyFont="1" applyNumberFormat="1">
      <alignment readingOrder="0" shrinkToFit="0" wrapText="1"/>
    </xf>
    <xf borderId="20" fillId="4" fontId="17" numFmtId="164" xfId="0" applyAlignment="1" applyBorder="1" applyFont="1" applyNumberFormat="1">
      <alignment horizontal="center" readingOrder="0" vertical="center"/>
    </xf>
    <xf borderId="4" fillId="4" fontId="17" numFmtId="9" xfId="0" applyAlignment="1" applyBorder="1" applyFont="1" applyNumberFormat="1">
      <alignment horizontal="center" readingOrder="0" vertical="center"/>
    </xf>
    <xf borderId="3" fillId="4" fontId="17" numFmtId="9" xfId="0" applyAlignment="1" applyBorder="1" applyFont="1" applyNumberFormat="1">
      <alignment horizontal="center" readingOrder="0" vertical="center"/>
    </xf>
    <xf borderId="9" fillId="3" fontId="10" numFmtId="0" xfId="0" applyAlignment="1" applyBorder="1" applyFont="1">
      <alignment shrinkToFit="0" vertical="center" wrapText="1"/>
    </xf>
    <xf borderId="3" fillId="4" fontId="17" numFmtId="167" xfId="0" applyAlignment="1" applyBorder="1" applyFont="1" applyNumberFormat="1">
      <alignment horizontal="center" readingOrder="0" vertical="center"/>
    </xf>
    <xf borderId="21" fillId="4" fontId="17" numFmtId="10" xfId="0" applyAlignment="1" applyBorder="1" applyFont="1" applyNumberFormat="1">
      <alignment horizontal="center" readingOrder="0" shrinkToFit="0" vertical="center" wrapText="1"/>
    </xf>
    <xf borderId="8" fillId="4" fontId="20" numFmtId="0" xfId="0" applyAlignment="1" applyBorder="1" applyFont="1">
      <alignment horizontal="center" readingOrder="0" shrinkToFit="0" vertical="center" wrapText="1"/>
    </xf>
    <xf borderId="0" fillId="2" fontId="13" numFmtId="0" xfId="0" applyAlignment="1" applyFont="1">
      <alignment horizontal="left" readingOrder="0" vertical="bottom"/>
    </xf>
    <xf borderId="22" fillId="2" fontId="15" numFmtId="0" xfId="0" applyAlignment="1" applyBorder="1" applyFont="1">
      <alignment horizontal="center" readingOrder="0" vertical="center"/>
    </xf>
    <xf borderId="11" fillId="3" fontId="21" numFmtId="0" xfId="0" applyAlignment="1" applyBorder="1" applyFont="1">
      <alignment horizontal="left" readingOrder="0" shrinkToFit="0" vertical="center" wrapText="1"/>
    </xf>
    <xf borderId="12" fillId="3" fontId="1" numFmtId="0" xfId="0" applyAlignment="1" applyBorder="1" applyFont="1">
      <alignment shrinkToFit="0" wrapText="1"/>
    </xf>
    <xf borderId="23" fillId="3" fontId="22" numFmtId="0" xfId="0" applyAlignment="1" applyBorder="1" applyFont="1">
      <alignment readingOrder="0" shrinkToFit="0" vertical="center" wrapText="1"/>
    </xf>
    <xf borderId="24" fillId="0" fontId="12" numFmtId="0" xfId="0" applyBorder="1" applyFont="1"/>
    <xf borderId="11" fillId="3" fontId="1" numFmtId="0" xfId="0" applyAlignment="1" applyBorder="1" applyFont="1">
      <alignment readingOrder="0" shrinkToFit="0" vertical="center" wrapText="1"/>
    </xf>
    <xf borderId="12" fillId="3" fontId="1" numFmtId="0" xfId="0" applyAlignment="1" applyBorder="1" applyFont="1">
      <alignment readingOrder="0" shrinkToFit="0" wrapText="1"/>
    </xf>
    <xf borderId="12" fillId="0" fontId="12" numFmtId="0" xfId="0" applyBorder="1" applyFont="1"/>
    <xf borderId="16" fillId="0" fontId="12" numFmtId="0" xfId="0" applyBorder="1" applyFont="1"/>
    <xf borderId="18" fillId="0" fontId="12" numFmtId="0" xfId="0" applyBorder="1" applyFont="1"/>
    <xf borderId="2" fillId="4" fontId="23" numFmtId="0" xfId="0" applyBorder="1" applyFont="1"/>
    <xf borderId="2" fillId="4" fontId="23" numFmtId="0" xfId="0" applyAlignment="1" applyBorder="1" applyFont="1">
      <alignment readingOrder="0"/>
    </xf>
    <xf borderId="9" fillId="4" fontId="23" numFmtId="0" xfId="0" applyAlignment="1" applyBorder="1" applyFont="1">
      <alignment readingOrder="0"/>
    </xf>
    <xf borderId="17" fillId="2" fontId="1" numFmtId="10" xfId="0" applyAlignment="1" applyBorder="1" applyFont="1" applyNumberFormat="1">
      <alignment readingOrder="0"/>
    </xf>
    <xf borderId="2" fillId="4" fontId="23" numFmtId="168" xfId="0" applyAlignment="1" applyBorder="1" applyFont="1" applyNumberFormat="1">
      <alignment readingOrder="0"/>
    </xf>
    <xf borderId="2" fillId="4" fontId="23" numFmtId="0" xfId="0" applyAlignment="1" applyBorder="1" applyFont="1">
      <alignment horizontal="right" readingOrder="0"/>
    </xf>
    <xf borderId="9" fillId="2" fontId="24" numFmtId="0" xfId="0" applyAlignment="1" applyBorder="1" applyFont="1">
      <alignment readingOrder="0"/>
    </xf>
    <xf borderId="12" fillId="3" fontId="25" numFmtId="0" xfId="0" applyAlignment="1" applyBorder="1" applyFont="1">
      <alignment shrinkToFit="0" wrapText="1"/>
    </xf>
    <xf borderId="17" fillId="2" fontId="25" numFmtId="10" xfId="0" applyAlignment="1" applyBorder="1" applyFont="1" applyNumberFormat="1">
      <alignment readingOrder="0"/>
    </xf>
    <xf borderId="9" fillId="2" fontId="26" numFmtId="164" xfId="0" applyAlignment="1" applyBorder="1" applyFont="1" applyNumberFormat="1">
      <alignment readingOrder="0"/>
    </xf>
    <xf borderId="2" fillId="5" fontId="7" numFmtId="164" xfId="0" applyBorder="1" applyFill="1" applyFont="1" applyNumberFormat="1"/>
    <xf borderId="2" fillId="2" fontId="27" numFmtId="0" xfId="0" applyAlignment="1" applyBorder="1" applyFont="1">
      <alignment readingOrder="0"/>
    </xf>
    <xf borderId="2" fillId="2" fontId="28" numFmtId="164" xfId="0" applyAlignment="1" applyBorder="1" applyFont="1" applyNumberFormat="1">
      <alignment readingOrder="0" vertical="center"/>
    </xf>
    <xf borderId="2" fillId="2" fontId="26" numFmtId="164" xfId="0" applyAlignment="1" applyBorder="1" applyFont="1" applyNumberFormat="1">
      <alignment readingOrder="0"/>
    </xf>
    <xf borderId="2" fillId="5" fontId="29" numFmtId="164" xfId="0" applyAlignment="1" applyBorder="1" applyFont="1" applyNumberFormat="1">
      <alignment readingOrder="0"/>
    </xf>
    <xf borderId="2" fillId="2" fontId="30" numFmtId="164" xfId="0" applyAlignment="1" applyBorder="1" applyFont="1" applyNumberFormat="1">
      <alignment readingOrder="0"/>
    </xf>
    <xf borderId="2" fillId="2" fontId="27" numFmtId="0" xfId="0" applyAlignment="1" applyBorder="1" applyFont="1">
      <alignment readingOrder="0" shrinkToFit="0" wrapText="1"/>
    </xf>
    <xf borderId="2" fillId="2" fontId="26" numFmtId="10" xfId="0" applyAlignment="1" applyBorder="1" applyFont="1" applyNumberFormat="1">
      <alignment readingOrder="0"/>
    </xf>
    <xf borderId="12" fillId="3" fontId="1" numFmtId="10" xfId="0" applyAlignment="1" applyBorder="1" applyFont="1" applyNumberFormat="1">
      <alignment shrinkToFit="0" wrapText="1"/>
    </xf>
    <xf borderId="2" fillId="5" fontId="7" numFmtId="10" xfId="0" applyBorder="1" applyFont="1" applyNumberFormat="1"/>
    <xf borderId="2" fillId="2" fontId="30" numFmtId="0" xfId="0" applyAlignment="1" applyBorder="1" applyFont="1">
      <alignment readingOrder="0"/>
    </xf>
    <xf borderId="2" fillId="2" fontId="30" numFmtId="10" xfId="0" applyBorder="1" applyFont="1" applyNumberFormat="1"/>
    <xf borderId="2" fillId="5" fontId="7" numFmtId="164" xfId="0" applyAlignment="1" applyBorder="1" applyFont="1" applyNumberFormat="1">
      <alignment readingOrder="0"/>
    </xf>
    <xf borderId="12" fillId="3" fontId="1" numFmtId="164" xfId="0" applyAlignment="1" applyBorder="1" applyFont="1" applyNumberFormat="1">
      <alignment shrinkToFit="0" wrapText="1"/>
    </xf>
    <xf borderId="2" fillId="2" fontId="30" numFmtId="164" xfId="0" applyBorder="1" applyFont="1" applyNumberFormat="1"/>
    <xf borderId="17" fillId="2" fontId="1" numFmtId="164" xfId="0" applyAlignment="1" applyBorder="1" applyFont="1" applyNumberFormat="1">
      <alignment readingOrder="0"/>
    </xf>
    <xf borderId="0" fillId="2" fontId="1" numFmtId="164" xfId="0" applyAlignment="1" applyFont="1" applyNumberFormat="1">
      <alignment readingOrder="0"/>
    </xf>
    <xf borderId="0" fillId="2" fontId="27" numFmtId="0" xfId="0" applyAlignment="1" applyFont="1">
      <alignment readingOrder="0"/>
    </xf>
    <xf borderId="18" fillId="3" fontId="19" numFmtId="166" xfId="0" applyAlignment="1" applyBorder="1" applyFont="1" applyNumberFormat="1">
      <alignment readingOrder="0" shrinkToFit="0" wrapText="1"/>
    </xf>
    <xf borderId="18" fillId="3" fontId="19" numFmtId="10" xfId="0" applyAlignment="1" applyBorder="1" applyFont="1" applyNumberFormat="1">
      <alignment readingOrder="0" shrinkToFit="0" wrapText="1"/>
    </xf>
    <xf borderId="2" fillId="4" fontId="17" numFmtId="164" xfId="0" applyAlignment="1" applyBorder="1" applyFont="1" applyNumberFormat="1">
      <alignment horizontal="center" readingOrder="0" vertical="center"/>
    </xf>
    <xf borderId="2" fillId="4" fontId="17" numFmtId="9" xfId="0" applyAlignment="1" applyBorder="1" applyFont="1" applyNumberFormat="1">
      <alignment horizontal="center" readingOrder="0" vertical="center"/>
    </xf>
    <xf borderId="25" fillId="4" fontId="17" numFmtId="9" xfId="0" applyAlignment="1" applyBorder="1" applyFont="1" applyNumberFormat="1">
      <alignment horizontal="center" readingOrder="0" vertical="center"/>
    </xf>
    <xf borderId="19" fillId="4" fontId="17" numFmtId="167" xfId="0" applyAlignment="1" applyBorder="1" applyFont="1" applyNumberFormat="1">
      <alignment horizontal="center" readingOrder="0" vertical="center"/>
    </xf>
    <xf borderId="2" fillId="4" fontId="17" numFmtId="10" xfId="0" applyAlignment="1" applyBorder="1" applyFont="1" applyNumberFormat="1">
      <alignment horizontal="center" readingOrder="0" shrinkToFit="0" vertical="center" wrapText="1"/>
    </xf>
    <xf borderId="8" fillId="4" fontId="17" numFmtId="0" xfId="0" applyAlignment="1" applyBorder="1" applyFont="1">
      <alignment horizontal="center" readingOrder="0" shrinkToFit="0" vertical="center" wrapText="1"/>
    </xf>
    <xf borderId="0" fillId="2" fontId="13" numFmtId="169" xfId="0" applyAlignment="1" applyFont="1" applyNumberFormat="1">
      <alignment horizontal="left" readingOrder="0" vertical="bottom"/>
    </xf>
    <xf borderId="0" fillId="2" fontId="30" numFmtId="164" xfId="0" applyFont="1" applyNumberFormat="1"/>
    <xf borderId="14" fillId="2" fontId="31" numFmtId="0" xfId="0" applyAlignment="1" applyBorder="1" applyFont="1">
      <alignment horizontal="left" readingOrder="0" shrinkToFit="0" vertical="top" wrapText="1"/>
    </xf>
    <xf borderId="14" fillId="2" fontId="31" numFmtId="0" xfId="0" applyAlignment="1" applyBorder="1" applyFont="1">
      <alignment horizontal="left" readingOrder="0" vertical="bottom"/>
    </xf>
    <xf borderId="14" fillId="2" fontId="31" numFmtId="0" xfId="0" applyAlignment="1" applyBorder="1" applyFont="1">
      <alignment horizontal="left" readingOrder="0" shrinkToFit="0" vertical="bottom" wrapText="1"/>
    </xf>
    <xf borderId="14" fillId="2" fontId="13" numFmtId="0" xfId="0" applyAlignment="1" applyBorder="1" applyFont="1">
      <alignment horizontal="center" readingOrder="0" vertical="bottom"/>
    </xf>
    <xf borderId="14" fillId="2" fontId="31" numFmtId="0" xfId="0" applyAlignment="1" applyBorder="1" applyFont="1">
      <alignment horizontal="left" readingOrder="0" vertical="top"/>
    </xf>
    <xf borderId="17" fillId="2" fontId="31" numFmtId="0" xfId="0" applyAlignment="1" applyBorder="1" applyFont="1">
      <alignment horizontal="left" readingOrder="0" vertical="top"/>
    </xf>
    <xf borderId="9" fillId="4" fontId="23" numFmtId="0" xfId="0" applyAlignment="1" applyBorder="1" applyFont="1">
      <alignment horizontal="right" readingOrder="0" shrinkToFit="0" wrapText="1"/>
    </xf>
    <xf borderId="2" fillId="4" fontId="23" numFmtId="164" xfId="0" applyAlignment="1" applyBorder="1" applyFont="1" applyNumberFormat="1">
      <alignment readingOrder="0"/>
    </xf>
    <xf borderId="3" fillId="2" fontId="31" numFmtId="0" xfId="0" applyAlignment="1" applyBorder="1" applyFont="1">
      <alignment horizontal="left" readingOrder="0" vertical="top"/>
    </xf>
    <xf borderId="14" fillId="2" fontId="1" numFmtId="0" xfId="0" applyBorder="1" applyFont="1"/>
    <xf borderId="19" fillId="2" fontId="13" numFmtId="0" xfId="0" applyAlignment="1" applyBorder="1" applyFont="1">
      <alignment horizontal="left" readingOrder="0" vertical="top"/>
    </xf>
    <xf borderId="19" fillId="2" fontId="16" numFmtId="0" xfId="0" applyAlignment="1" applyBorder="1" applyFont="1">
      <alignment readingOrder="0"/>
    </xf>
    <xf borderId="26" fillId="2" fontId="16" numFmtId="0" xfId="0" applyAlignment="1" applyBorder="1" applyFont="1">
      <alignment readingOrder="0"/>
    </xf>
    <xf borderId="4" fillId="2" fontId="16" numFmtId="0" xfId="0" applyAlignment="1" applyBorder="1" applyFont="1">
      <alignment readingOrder="0"/>
    </xf>
    <xf borderId="14" fillId="2" fontId="16" numFmtId="0" xfId="0" applyAlignment="1" applyBorder="1" applyFont="1">
      <alignment readingOrder="0"/>
    </xf>
    <xf borderId="14" fillId="2" fontId="13" numFmtId="0" xfId="0" applyAlignment="1" applyBorder="1" applyFont="1">
      <alignment horizontal="center" readingOrder="0" shrinkToFit="0" vertical="bottom" wrapText="1"/>
    </xf>
    <xf borderId="17" fillId="2" fontId="7" numFmtId="0" xfId="0" applyAlignment="1" applyBorder="1" applyFont="1">
      <alignment horizontal="right" readingOrder="0" shrinkToFit="0" wrapText="1"/>
    </xf>
    <xf borderId="17" fillId="2" fontId="13" numFmtId="0" xfId="0" applyAlignment="1" applyBorder="1" applyFont="1">
      <alignment horizontal="left" readingOrder="0" vertical="top"/>
    </xf>
    <xf borderId="26" fillId="2" fontId="1" numFmtId="0" xfId="0" applyBorder="1" applyFont="1"/>
    <xf borderId="4" fillId="2" fontId="32" numFmtId="0" xfId="0" applyAlignment="1" applyBorder="1" applyFont="1">
      <alignment readingOrder="0" vertical="bottom"/>
    </xf>
    <xf borderId="14" fillId="2" fontId="32" numFmtId="0" xfId="0" applyAlignment="1" applyBorder="1" applyFont="1">
      <alignment readingOrder="0" vertical="bottom"/>
    </xf>
    <xf borderId="6" fillId="0" fontId="12" numFmtId="0" xfId="0" applyBorder="1" applyFont="1"/>
    <xf borderId="25" fillId="0" fontId="12" numFmtId="0" xfId="0" applyBorder="1" applyFont="1"/>
    <xf borderId="4" fillId="2" fontId="1" numFmtId="0" xfId="0" applyBorder="1" applyFont="1"/>
    <xf borderId="1" fillId="2" fontId="32" numFmtId="0" xfId="0" applyAlignment="1" applyBorder="1" applyFont="1">
      <alignment readingOrder="0" vertical="bottom"/>
    </xf>
    <xf borderId="17" fillId="2" fontId="7" numFmtId="0" xfId="0" applyAlignment="1" applyBorder="1" applyFont="1">
      <alignment horizontal="center" readingOrder="0" shrinkToFit="0" wrapText="1"/>
    </xf>
    <xf borderId="4" fillId="2" fontId="1" numFmtId="0" xfId="0" applyAlignment="1" applyBorder="1" applyFont="1">
      <alignment readingOrder="0"/>
    </xf>
    <xf borderId="4" fillId="2" fontId="7" numFmtId="0" xfId="0" applyAlignment="1" applyBorder="1" applyFont="1">
      <alignment shrinkToFit="0" wrapText="1"/>
    </xf>
    <xf borderId="4" fillId="2" fontId="7" numFmtId="0" xfId="0" applyAlignment="1" applyBorder="1" applyFont="1">
      <alignment readingOrder="0"/>
    </xf>
    <xf borderId="22" fillId="2" fontId="7" numFmtId="0" xfId="0" applyAlignment="1" applyBorder="1" applyFont="1">
      <alignment readingOrder="0"/>
    </xf>
    <xf borderId="22" fillId="2" fontId="7" numFmtId="0" xfId="0" applyAlignment="1" applyBorder="1" applyFont="1">
      <alignment readingOrder="0" shrinkToFit="0" wrapText="1"/>
    </xf>
    <xf borderId="26" fillId="2" fontId="7" numFmtId="0" xfId="0" applyAlignment="1" applyBorder="1" applyFont="1">
      <alignment readingOrder="0"/>
    </xf>
    <xf borderId="27" fillId="2" fontId="7" numFmtId="0" xfId="0" applyAlignment="1" applyBorder="1" applyFont="1">
      <alignment readingOrder="0"/>
    </xf>
    <xf borderId="0" fillId="2" fontId="33" numFmtId="0" xfId="0" applyAlignment="1" applyFont="1">
      <alignment readingOrder="0" vertical="bottom"/>
    </xf>
    <xf borderId="26" fillId="2" fontId="7" numFmtId="1" xfId="0" applyAlignment="1" applyBorder="1" applyFont="1" applyNumberFormat="1">
      <alignment readingOrder="0"/>
    </xf>
    <xf borderId="26" fillId="2" fontId="1" numFmtId="0" xfId="0" applyAlignment="1" applyBorder="1" applyFont="1">
      <alignment readingOrder="0"/>
    </xf>
    <xf borderId="26" fillId="2" fontId="1" numFmtId="0" xfId="0" applyBorder="1" applyFont="1"/>
    <xf borderId="2" fillId="4" fontId="23" numFmtId="0" xfId="0" applyAlignment="1" applyBorder="1" applyFont="1">
      <alignment readingOrder="0" shrinkToFit="0" wrapText="1"/>
    </xf>
    <xf borderId="2" fillId="4" fontId="23" numFmtId="0" xfId="0" applyAlignment="1" applyBorder="1" applyFont="1">
      <alignment horizontal="right" readingOrder="0" shrinkToFit="0" wrapText="1"/>
    </xf>
    <xf borderId="2" fillId="4" fontId="23" numFmtId="49" xfId="0" applyAlignment="1" applyBorder="1" applyFont="1" applyNumberFormat="1">
      <alignment readingOrder="0" shrinkToFit="0" wrapText="1"/>
    </xf>
    <xf borderId="2" fillId="4" fontId="23" numFmtId="49" xfId="0" applyAlignment="1" applyBorder="1" applyFont="1" applyNumberFormat="1">
      <alignment readingOrder="0"/>
    </xf>
    <xf borderId="9" fillId="4" fontId="23" numFmtId="49" xfId="0" applyAlignment="1" applyBorder="1" applyFont="1" applyNumberFormat="1">
      <alignment readingOrder="0"/>
    </xf>
    <xf borderId="2" fillId="2" fontId="27" numFmtId="164" xfId="0" applyAlignment="1" applyBorder="1" applyFont="1" applyNumberFormat="1">
      <alignment readingOrder="0" shrinkToFit="0" wrapText="1"/>
    </xf>
    <xf borderId="0" fillId="3" fontId="1" numFmtId="0" xfId="0" applyAlignment="1" applyFont="1">
      <alignment shrinkToFit="0" wrapText="1"/>
    </xf>
    <xf borderId="2" fillId="2" fontId="26" numFmtId="164" xfId="0" applyAlignment="1" applyBorder="1" applyFont="1" applyNumberFormat="1">
      <alignment readingOrder="0" shrinkToFit="0" wrapText="1"/>
    </xf>
    <xf borderId="0" fillId="2" fontId="28" numFmtId="164" xfId="0" applyAlignment="1" applyFont="1" applyNumberFormat="1">
      <alignment readingOrder="0" vertical="center"/>
    </xf>
    <xf borderId="12" fillId="3" fontId="1" numFmtId="164" xfId="0" applyAlignment="1" applyBorder="1" applyFont="1" applyNumberFormat="1">
      <alignment readingOrder="0" shrinkToFit="0" wrapText="1"/>
    </xf>
    <xf borderId="2" fillId="2" fontId="30" numFmtId="164" xfId="0" applyAlignment="1" applyBorder="1" applyFont="1" applyNumberFormat="1">
      <alignment readingOrder="0" shrinkToFit="0" wrapText="1"/>
    </xf>
    <xf borderId="12" fillId="3" fontId="34" numFmtId="0" xfId="0" applyAlignment="1" applyBorder="1" applyFont="1">
      <alignment shrinkToFit="0" wrapText="1"/>
    </xf>
    <xf borderId="2" fillId="5" fontId="30" numFmtId="164" xfId="0" applyAlignment="1" applyBorder="1" applyFont="1" applyNumberFormat="1">
      <alignment readingOrder="0"/>
    </xf>
    <xf borderId="12" fillId="2" fontId="30" numFmtId="164" xfId="0" applyAlignment="1" applyBorder="1" applyFont="1" applyNumberFormat="1">
      <alignment readingOrder="0"/>
    </xf>
    <xf borderId="0" fillId="2" fontId="30" numFmtId="164" xfId="0" applyAlignment="1" applyFont="1" applyNumberFormat="1">
      <alignment readingOrder="0"/>
    </xf>
    <xf borderId="12" fillId="2" fontId="30" numFmtId="164" xfId="0" applyBorder="1" applyFont="1" applyNumberFormat="1"/>
    <xf borderId="7" fillId="2" fontId="30" numFmtId="164" xfId="0" applyAlignment="1" applyBorder="1" applyFont="1" applyNumberFormat="1">
      <alignment readingOrder="0" shrinkToFit="0" wrapText="1"/>
    </xf>
    <xf borderId="11" fillId="3" fontId="16" numFmtId="0" xfId="0" applyAlignment="1" applyBorder="1" applyFont="1">
      <alignment shrinkToFit="0" wrapText="1"/>
    </xf>
    <xf borderId="7" fillId="5" fontId="30" numFmtId="164" xfId="0" applyAlignment="1" applyBorder="1" applyFont="1" applyNumberFormat="1">
      <alignment readingOrder="0"/>
    </xf>
    <xf borderId="4" fillId="2" fontId="23" numFmtId="0" xfId="0" applyAlignment="1" applyBorder="1" applyFont="1">
      <alignment readingOrder="0" shrinkToFit="0" wrapText="1"/>
    </xf>
    <xf borderId="4" fillId="2" fontId="23" numFmtId="168" xfId="0" applyAlignment="1" applyBorder="1" applyFont="1" applyNumberFormat="1">
      <alignment readingOrder="0"/>
    </xf>
    <xf borderId="4" fillId="2" fontId="23" numFmtId="168" xfId="0" applyAlignment="1" applyBorder="1" applyFont="1" applyNumberFormat="1">
      <alignment readingOrder="0" shrinkToFit="0" wrapText="1"/>
    </xf>
    <xf borderId="4" fillId="2" fontId="23" numFmtId="0" xfId="0" applyAlignment="1" applyBorder="1" applyFont="1">
      <alignment horizontal="right" readingOrder="0"/>
    </xf>
    <xf borderId="4" fillId="2" fontId="23" numFmtId="0" xfId="0" applyAlignment="1" applyBorder="1" applyFont="1">
      <alignment readingOrder="0"/>
    </xf>
    <xf borderId="0" fillId="2" fontId="35" numFmtId="0" xfId="0" applyAlignment="1" applyFont="1">
      <alignment readingOrder="0"/>
    </xf>
    <xf borderId="0" fillId="2" fontId="36" numFmtId="0" xfId="0" applyAlignment="1" applyFont="1">
      <alignment readingOrder="0"/>
    </xf>
    <xf borderId="0" fillId="3" fontId="37" numFmtId="0" xfId="0" applyAlignment="1" applyFont="1">
      <alignment readingOrder="0"/>
    </xf>
    <xf borderId="12" fillId="3" fontId="38" numFmtId="0" xfId="0" applyAlignment="1" applyBorder="1" applyFont="1">
      <alignment readingOrder="0"/>
    </xf>
    <xf borderId="12" fillId="3" fontId="39" numFmtId="0" xfId="0" applyAlignment="1" applyBorder="1" applyFont="1">
      <alignment readingOrder="0"/>
    </xf>
    <xf borderId="2" fillId="3" fontId="38" numFmtId="1" xfId="0" applyAlignment="1" applyBorder="1" applyFont="1" applyNumberFormat="1">
      <alignment readingOrder="0"/>
    </xf>
    <xf borderId="2" fillId="3" fontId="39" numFmtId="169" xfId="0" applyAlignment="1" applyBorder="1" applyFont="1" applyNumberFormat="1">
      <alignment readingOrder="0"/>
    </xf>
    <xf borderId="2" fillId="3" fontId="39" numFmtId="0" xfId="0" applyAlignment="1" applyBorder="1" applyFont="1">
      <alignment readingOrder="0"/>
    </xf>
    <xf borderId="2" fillId="3" fontId="38" numFmtId="0" xfId="0" applyAlignment="1" applyBorder="1" applyFont="1">
      <alignment readingOrder="0"/>
    </xf>
  </cellXfs>
  <cellStyles count="1">
    <cellStyle xfId="0" name="Normal" builtinId="0"/>
  </cellStyles>
  <dxfs count="3">
    <dxf>
      <font>
        <color rgb="FFEEDFCE"/>
      </font>
      <fill>
        <patternFill patternType="solid">
          <fgColor rgb="FFEEDFCE"/>
          <bgColor rgb="FFEEDFCE"/>
        </patternFill>
      </fill>
      <border/>
    </dxf>
    <dxf>
      <font/>
      <fill>
        <patternFill patternType="solid">
          <fgColor theme="5"/>
          <bgColor theme="5"/>
        </patternFill>
      </fill>
      <border/>
    </dxf>
    <dxf>
      <font>
        <color rgb="FFFCF1E5"/>
      </font>
      <fill>
        <patternFill patternType="solid">
          <fgColor rgb="FFFCF1E5"/>
          <bgColor rgb="FFFCF1E5"/>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v>Inflation</c:v>
          </c:tx>
          <c:spPr>
            <a:ln cmpd="sng" w="38100">
              <a:solidFill>
                <a:srgbClr val="4285F4"/>
              </a:solidFill>
              <a:prstDash val="sysDot"/>
            </a:ln>
          </c:spPr>
          <c:marker>
            <c:symbol val="none"/>
          </c:marker>
          <c:cat>
            <c:strRef>
              <c:f>'Person 1 Draw-down'!$D$3:$AR$3</c:f>
            </c:strRef>
          </c:cat>
          <c:val>
            <c:numRef>
              <c:f>'Person 1 Draw-down'!$D$26:$AR$26</c:f>
              <c:numCache/>
            </c:numRef>
          </c:val>
          <c:smooth val="1"/>
        </c:ser>
        <c:ser>
          <c:idx val="1"/>
          <c:order val="1"/>
          <c:tx>
            <c:v>Tax</c:v>
          </c:tx>
          <c:spPr>
            <a:ln cmpd="sng">
              <a:solidFill>
                <a:srgbClr val="EA4335"/>
              </a:solidFill>
              <a:prstDash val="solid"/>
            </a:ln>
          </c:spPr>
          <c:marker>
            <c:symbol val="none"/>
          </c:marker>
          <c:cat>
            <c:strRef>
              <c:f>'Person 1 Draw-down'!$D$3:$AR$3</c:f>
            </c:strRef>
          </c:cat>
          <c:val>
            <c:numRef>
              <c:f>'Person 1 Draw-down'!$D$30:$AR$30</c:f>
              <c:numCache/>
            </c:numRef>
          </c:val>
          <c:smooth val="1"/>
        </c:ser>
        <c:ser>
          <c:idx val="2"/>
          <c:order val="2"/>
          <c:tx>
            <c:v>SIPP Draw-down</c:v>
          </c:tx>
          <c:spPr>
            <a:ln cmpd="sng">
              <a:solidFill>
                <a:srgbClr val="FBBC04"/>
              </a:solidFill>
            </a:ln>
          </c:spPr>
          <c:marker>
            <c:symbol val="none"/>
          </c:marker>
          <c:cat>
            <c:strRef>
              <c:f>'Person 1 Draw-down'!$D$3:$AR$3</c:f>
            </c:strRef>
          </c:cat>
          <c:val>
            <c:numRef>
              <c:f>'Person 1 Draw-down'!$D$7:$AR$7</c:f>
              <c:numCache/>
            </c:numRef>
          </c:val>
          <c:smooth val="1"/>
        </c:ser>
        <c:ser>
          <c:idx val="3"/>
          <c:order val="3"/>
          <c:tx>
            <c:v>Net Income</c:v>
          </c:tx>
          <c:spPr>
            <a:ln cmpd="sng">
              <a:solidFill>
                <a:srgbClr val="34A853"/>
              </a:solidFill>
            </a:ln>
          </c:spPr>
          <c:marker>
            <c:symbol val="none"/>
          </c:marker>
          <c:cat>
            <c:strRef>
              <c:f>'Person 1 Draw-down'!$D$3:$AR$3</c:f>
            </c:strRef>
          </c:cat>
          <c:val>
            <c:numRef>
              <c:f>'Person 1 Draw-down'!$D$32:$AR$32</c:f>
              <c:numCache/>
            </c:numRef>
          </c:val>
          <c:smooth val="1"/>
        </c:ser>
        <c:ser>
          <c:idx val="4"/>
          <c:order val="4"/>
          <c:tx>
            <c:v>Gross Income</c:v>
          </c:tx>
          <c:spPr>
            <a:ln cmpd="sng">
              <a:solidFill>
                <a:srgbClr val="FF6D01"/>
              </a:solidFill>
            </a:ln>
          </c:spPr>
          <c:marker>
            <c:symbol val="none"/>
          </c:marker>
          <c:cat>
            <c:strRef>
              <c:f>'Person 1 Draw-down'!$D$3:$AR$3</c:f>
            </c:strRef>
          </c:cat>
          <c:val>
            <c:numRef>
              <c:f>'Person 1 Draw-down'!$D$24:$AR$24</c:f>
              <c:numCache/>
            </c:numRef>
          </c:val>
          <c:smooth val="1"/>
        </c:ser>
        <c:axId val="746455383"/>
        <c:axId val="342959373"/>
      </c:lineChart>
      <c:catAx>
        <c:axId val="746455383"/>
        <c:scaling>
          <c:orientation val="minMax"/>
        </c:scaling>
        <c:delete val="0"/>
        <c:axPos val="b"/>
        <c:title>
          <c:tx>
            <c:rich>
              <a:bodyPr/>
              <a:lstStyle/>
              <a:p>
                <a:pPr lvl="0">
                  <a:defRPr b="0" i="0" sz="1400">
                    <a:solidFill>
                      <a:srgbClr val="000000"/>
                    </a:solidFill>
                    <a:latin typeface="+mn-lt"/>
                  </a:defRPr>
                </a:pPr>
                <a:r>
                  <a:rPr b="0" i="0" sz="1400">
                    <a:solidFill>
                      <a:srgbClr val="000000"/>
                    </a:solidFill>
                    <a:latin typeface="+mn-lt"/>
                  </a:rPr>
                  <a:t>Age</a:t>
                </a:r>
              </a:p>
            </c:rich>
          </c:tx>
          <c:overlay val="0"/>
        </c:title>
        <c:numFmt formatCode="General" sourceLinked="1"/>
        <c:majorTickMark val="none"/>
        <c:minorTickMark val="none"/>
        <c:spPr/>
        <c:txPr>
          <a:bodyPr/>
          <a:lstStyle/>
          <a:p>
            <a:pPr lvl="0">
              <a:defRPr b="0">
                <a:solidFill>
                  <a:srgbClr val="000000"/>
                </a:solidFill>
                <a:latin typeface="+mn-lt"/>
              </a:defRPr>
            </a:pPr>
          </a:p>
        </c:txPr>
        <c:crossAx val="342959373"/>
      </c:catAx>
      <c:valAx>
        <c:axId val="34295937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46455383"/>
      </c:valAx>
    </c:plotArea>
    <c:legend>
      <c:legendPos val="t"/>
      <c:overlay val="0"/>
      <c:txPr>
        <a:bodyPr/>
        <a:lstStyle/>
        <a:p>
          <a:pPr lvl="0">
            <a:defRPr b="0" sz="1400">
              <a:solidFill>
                <a:srgbClr val="1A1A1A"/>
              </a:solidFill>
              <a:latin typeface="+mn-lt"/>
            </a:defRPr>
          </a:pPr>
        </a:p>
      </c:txPr>
    </c:legend>
    <c:plotVisOnly val="1"/>
  </c:chart>
  <c:spPr>
    <a:solidFill>
      <a:srgbClr val="FCF1E5"/>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v>ISA</c:v>
          </c:tx>
          <c:spPr>
            <a:ln cmpd="sng">
              <a:solidFill>
                <a:srgbClr val="4285F4"/>
              </a:solidFill>
            </a:ln>
          </c:spPr>
          <c:marker>
            <c:symbol val="none"/>
          </c:marker>
          <c:cat>
            <c:strRef>
              <c:f>'Person 2 Calculator'!$A$50:$A$82</c:f>
            </c:strRef>
          </c:cat>
          <c:val>
            <c:numRef>
              <c:f>'Person 2 Calculator'!$B$50:$B$82</c:f>
              <c:numCache/>
            </c:numRef>
          </c:val>
          <c:smooth val="1"/>
        </c:ser>
        <c:ser>
          <c:idx val="1"/>
          <c:order val="1"/>
          <c:tx>
            <c:v>Rent</c:v>
          </c:tx>
          <c:spPr>
            <a:ln cmpd="sng">
              <a:solidFill>
                <a:srgbClr val="EA4335"/>
              </a:solidFill>
            </a:ln>
          </c:spPr>
          <c:marker>
            <c:symbol val="none"/>
          </c:marker>
          <c:cat>
            <c:strRef>
              <c:f>'Person 2 Calculator'!$A$50:$A$82</c:f>
            </c:strRef>
          </c:cat>
          <c:val>
            <c:numRef>
              <c:f>'Person 2 Calculator'!$C$50:$C$82</c:f>
              <c:numCache/>
            </c:numRef>
          </c:val>
          <c:smooth val="1"/>
        </c:ser>
        <c:ser>
          <c:idx val="2"/>
          <c:order val="2"/>
          <c:tx>
            <c:v>State Pension</c:v>
          </c:tx>
          <c:spPr>
            <a:ln cmpd="sng">
              <a:solidFill>
                <a:srgbClr val="FBBC04"/>
              </a:solidFill>
            </a:ln>
          </c:spPr>
          <c:marker>
            <c:symbol val="none"/>
          </c:marker>
          <c:cat>
            <c:strRef>
              <c:f>'Person 2 Calculator'!$A$50:$A$82</c:f>
            </c:strRef>
          </c:cat>
          <c:val>
            <c:numRef>
              <c:f>'Person 2 Calculator'!$D$50:$D$82</c:f>
              <c:numCache/>
            </c:numRef>
          </c:val>
          <c:smooth val="1"/>
        </c:ser>
        <c:ser>
          <c:idx val="3"/>
          <c:order val="3"/>
          <c:tx>
            <c:v>Annuities</c:v>
          </c:tx>
          <c:spPr>
            <a:ln cmpd="sng">
              <a:solidFill>
                <a:srgbClr val="34A853"/>
              </a:solidFill>
            </a:ln>
          </c:spPr>
          <c:marker>
            <c:symbol val="none"/>
          </c:marker>
          <c:cat>
            <c:strRef>
              <c:f>'Person 2 Calculator'!$A$50:$A$82</c:f>
            </c:strRef>
          </c:cat>
          <c:val>
            <c:numRef>
              <c:f>'Person 2 Calculator'!$E$50:$E$82</c:f>
              <c:numCache/>
            </c:numRef>
          </c:val>
          <c:smooth val="1"/>
        </c:ser>
        <c:ser>
          <c:idx val="4"/>
          <c:order val="4"/>
          <c:tx>
            <c:v>DB Pensions</c:v>
          </c:tx>
          <c:spPr>
            <a:ln cmpd="sng">
              <a:solidFill>
                <a:srgbClr val="FF6D01"/>
              </a:solidFill>
            </a:ln>
          </c:spPr>
          <c:marker>
            <c:symbol val="none"/>
          </c:marker>
          <c:cat>
            <c:strRef>
              <c:f>'Person 2 Calculator'!$A$50:$A$82</c:f>
            </c:strRef>
          </c:cat>
          <c:val>
            <c:numRef>
              <c:f>'Person 2 Calculator'!$F$50:$F$82</c:f>
              <c:numCache/>
            </c:numRef>
          </c:val>
          <c:smooth val="1"/>
        </c:ser>
        <c:ser>
          <c:idx val="5"/>
          <c:order val="5"/>
          <c:tx>
            <c:v>Cash</c:v>
          </c:tx>
          <c:spPr>
            <a:ln cmpd="sng">
              <a:solidFill>
                <a:srgbClr val="46BDC6"/>
              </a:solidFill>
            </a:ln>
          </c:spPr>
          <c:marker>
            <c:symbol val="none"/>
          </c:marker>
          <c:cat>
            <c:strRef>
              <c:f>'Person 2 Calculator'!$A$50:$A$82</c:f>
            </c:strRef>
          </c:cat>
          <c:val>
            <c:numRef>
              <c:f>'Person 2 Calculator'!$G$50:$G$82</c:f>
              <c:numCache/>
            </c:numRef>
          </c:val>
          <c:smooth val="1"/>
        </c:ser>
        <c:ser>
          <c:idx val="6"/>
          <c:order val="6"/>
          <c:tx>
            <c:v>Total Annual Income</c:v>
          </c:tx>
          <c:spPr>
            <a:ln cmpd="sng">
              <a:solidFill>
                <a:srgbClr val="7BAAF7"/>
              </a:solidFill>
            </a:ln>
          </c:spPr>
          <c:marker>
            <c:symbol val="none"/>
          </c:marker>
          <c:cat>
            <c:strRef>
              <c:f>'Person 2 Calculator'!$A$50:$A$82</c:f>
            </c:strRef>
          </c:cat>
          <c:val>
            <c:numRef>
              <c:f>'Person 2 Calculator'!$H$50:$H$82</c:f>
              <c:numCache/>
            </c:numRef>
          </c:val>
          <c:smooth val="1"/>
        </c:ser>
        <c:ser>
          <c:idx val="7"/>
          <c:order val="7"/>
          <c:tx>
            <c:v>Inflation</c:v>
          </c:tx>
          <c:spPr>
            <a:ln cmpd="sng">
              <a:solidFill>
                <a:srgbClr val="0000FF"/>
              </a:solidFill>
            </a:ln>
          </c:spPr>
          <c:marker>
            <c:symbol val="circle"/>
            <c:size val="6"/>
            <c:spPr>
              <a:solidFill>
                <a:srgbClr val="0000FF"/>
              </a:solidFill>
              <a:ln cmpd="sng">
                <a:solidFill>
                  <a:srgbClr val="0000FF"/>
                </a:solidFill>
              </a:ln>
            </c:spPr>
          </c:marker>
          <c:cat>
            <c:strRef>
              <c:f>'Person 2 Calculator'!$A$50:$A$82</c:f>
            </c:strRef>
          </c:cat>
          <c:val>
            <c:numRef>
              <c:f>'Person 2 Calculator'!$I$50:$I$82</c:f>
              <c:numCache/>
            </c:numRef>
          </c:val>
          <c:smooth val="1"/>
        </c:ser>
        <c:ser>
          <c:idx val="8"/>
          <c:order val="8"/>
          <c:tx>
            <c:v>Tax</c:v>
          </c:tx>
          <c:spPr>
            <a:ln cmpd="sng">
              <a:solidFill>
                <a:srgbClr val="FCD04F"/>
              </a:solidFill>
            </a:ln>
          </c:spPr>
          <c:marker>
            <c:symbol val="none"/>
          </c:marker>
          <c:cat>
            <c:strRef>
              <c:f>'Person 2 Calculator'!$A$50:$A$82</c:f>
            </c:strRef>
          </c:cat>
          <c:val>
            <c:numRef>
              <c:f>'Person 2 Calculator'!$J$50:$J$82</c:f>
              <c:numCache/>
            </c:numRef>
          </c:val>
          <c:smooth val="1"/>
        </c:ser>
        <c:ser>
          <c:idx val="9"/>
          <c:order val="9"/>
          <c:tx>
            <c:v>Total Net Income</c:v>
          </c:tx>
          <c:spPr>
            <a:ln cmpd="sng">
              <a:solidFill>
                <a:srgbClr val="71C287"/>
              </a:solidFill>
            </a:ln>
          </c:spPr>
          <c:marker>
            <c:symbol val="none"/>
          </c:marker>
          <c:cat>
            <c:strRef>
              <c:f>'Person 2 Calculator'!$A$50:$A$82</c:f>
            </c:strRef>
          </c:cat>
          <c:val>
            <c:numRef>
              <c:f>'Person 2 Calculator'!$K$50:$K$82</c:f>
              <c:numCache/>
            </c:numRef>
          </c:val>
          <c:smooth val="1"/>
        </c:ser>
        <c:axId val="260337794"/>
        <c:axId val="2141876956"/>
      </c:lineChart>
      <c:catAx>
        <c:axId val="260337794"/>
        <c:scaling>
          <c:orientation val="minMax"/>
        </c:scaling>
        <c:delete val="0"/>
        <c:axPos val="b"/>
        <c:title>
          <c:tx>
            <c:rich>
              <a:bodyPr/>
              <a:lstStyle/>
              <a:p>
                <a:pPr lvl="0">
                  <a:defRPr b="0">
                    <a:solidFill>
                      <a:srgbClr val="000000"/>
                    </a:solidFill>
                    <a:latin typeface="Merriweather"/>
                  </a:defRPr>
                </a:pPr>
                <a:r>
                  <a:rPr b="0">
                    <a:solidFill>
                      <a:srgbClr val="000000"/>
                    </a:solidFill>
                    <a:latin typeface="Merriweather"/>
                  </a:rPr>
                  <a:t>Age</a:t>
                </a:r>
              </a:p>
            </c:rich>
          </c:tx>
          <c:overlay val="0"/>
        </c:title>
        <c:numFmt formatCode="General" sourceLinked="1"/>
        <c:majorTickMark val="none"/>
        <c:minorTickMark val="none"/>
        <c:spPr/>
        <c:txPr>
          <a:bodyPr/>
          <a:lstStyle/>
          <a:p>
            <a:pPr lvl="0">
              <a:defRPr b="0">
                <a:solidFill>
                  <a:srgbClr val="000000"/>
                </a:solidFill>
                <a:latin typeface="Merriweather"/>
              </a:defRPr>
            </a:pPr>
          </a:p>
        </c:txPr>
        <c:crossAx val="2141876956"/>
      </c:catAx>
      <c:valAx>
        <c:axId val="21418769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erriweather"/>
                  </a:defRPr>
                </a:pPr>
                <a:r>
                  <a:rPr b="0">
                    <a:solidFill>
                      <a:srgbClr val="000000"/>
                    </a:solidFill>
                    <a:latin typeface="Merriweather"/>
                  </a:rPr>
                  <a:t/>
                </a:r>
              </a:p>
            </c:rich>
          </c:tx>
          <c:overlay val="0"/>
        </c:title>
        <c:numFmt formatCode="General" sourceLinked="1"/>
        <c:majorTickMark val="none"/>
        <c:minorTickMark val="none"/>
        <c:tickLblPos val="nextTo"/>
        <c:spPr>
          <a:ln/>
        </c:spPr>
        <c:txPr>
          <a:bodyPr/>
          <a:lstStyle/>
          <a:p>
            <a:pPr lvl="0">
              <a:defRPr b="0">
                <a:solidFill>
                  <a:srgbClr val="000000"/>
                </a:solidFill>
                <a:latin typeface="Merriweather"/>
              </a:defRPr>
            </a:pPr>
          </a:p>
        </c:txPr>
        <c:crossAx val="260337794"/>
      </c:valAx>
      <c:spPr>
        <a:solidFill>
          <a:srgbClr val="FCF1E5"/>
        </a:solidFill>
      </c:spPr>
    </c:plotArea>
    <c:legend>
      <c:legendPos val="t"/>
      <c:overlay val="0"/>
      <c:txPr>
        <a:bodyPr/>
        <a:lstStyle/>
        <a:p>
          <a:pPr lvl="0">
            <a:defRPr b="0" sz="1400">
              <a:solidFill>
                <a:srgbClr val="333333"/>
              </a:solidFill>
              <a:latin typeface="Merriweather"/>
            </a:defRPr>
          </a:pPr>
        </a:p>
      </c:txPr>
    </c:legend>
  </c:chart>
  <c:spPr>
    <a:solidFill>
      <a:srgbClr val="FCF1E5"/>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v>Net Real Income</c:v>
          </c:tx>
          <c:spPr>
            <a:ln cmpd="sng">
              <a:solidFill>
                <a:srgbClr val="4285F4"/>
              </a:solidFill>
            </a:ln>
          </c:spPr>
          <c:marker>
            <c:symbol val="none"/>
          </c:marker>
          <c:cat>
            <c:strRef>
              <c:f>Settings!$A$30:$A$65</c:f>
            </c:strRef>
          </c:cat>
          <c:val>
            <c:numRef>
              <c:f>Settings!$B$30:$B$65</c:f>
              <c:numCache/>
            </c:numRef>
          </c:val>
          <c:smooth val="0"/>
        </c:ser>
        <c:ser>
          <c:idx val="1"/>
          <c:order val="1"/>
          <c:tx>
            <c:v>Nominal Gross Income</c:v>
          </c:tx>
          <c:spPr>
            <a:ln cmpd="sng">
              <a:solidFill>
                <a:srgbClr val="EA4335"/>
              </a:solidFill>
            </a:ln>
          </c:spPr>
          <c:marker>
            <c:symbol val="none"/>
          </c:marker>
          <c:cat>
            <c:strRef>
              <c:f>Settings!$A$30:$A$65</c:f>
            </c:strRef>
          </c:cat>
          <c:val>
            <c:numRef>
              <c:f>Settings!$C$30:$C$65</c:f>
              <c:numCache/>
            </c:numRef>
          </c:val>
          <c:smooth val="0"/>
        </c:ser>
        <c:ser>
          <c:idx val="2"/>
          <c:order val="2"/>
          <c:tx>
            <c:v>Net Nominal Income</c:v>
          </c:tx>
          <c:spPr>
            <a:ln cmpd="sng">
              <a:solidFill>
                <a:srgbClr val="FBBC04"/>
              </a:solidFill>
            </a:ln>
          </c:spPr>
          <c:marker>
            <c:symbol val="none"/>
          </c:marker>
          <c:cat>
            <c:strRef>
              <c:f>Settings!$A$30:$A$65</c:f>
            </c:strRef>
          </c:cat>
          <c:val>
            <c:numRef>
              <c:f>Settings!$D$30:$D$65</c:f>
              <c:numCache/>
            </c:numRef>
          </c:val>
          <c:smooth val="0"/>
        </c:ser>
        <c:ser>
          <c:idx val="3"/>
          <c:order val="3"/>
          <c:tx>
            <c:v>Tax</c:v>
          </c:tx>
          <c:spPr>
            <a:ln cmpd="sng">
              <a:solidFill>
                <a:srgbClr val="34A853"/>
              </a:solidFill>
            </a:ln>
          </c:spPr>
          <c:marker>
            <c:symbol val="none"/>
          </c:marker>
          <c:cat>
            <c:strRef>
              <c:f>Settings!$A$30:$A$65</c:f>
            </c:strRef>
          </c:cat>
          <c:val>
            <c:numRef>
              <c:f>Settings!$E$30:$E$65</c:f>
              <c:numCache/>
            </c:numRef>
          </c:val>
          <c:smooth val="0"/>
        </c:ser>
        <c:axId val="997494263"/>
        <c:axId val="94653569"/>
      </c:lineChart>
      <c:catAx>
        <c:axId val="9974942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a:t>
                </a:r>
              </a:p>
            </c:rich>
          </c:tx>
          <c:overlay val="0"/>
        </c:title>
        <c:numFmt formatCode="General" sourceLinked="1"/>
        <c:majorTickMark val="none"/>
        <c:minorTickMark val="none"/>
        <c:spPr/>
        <c:txPr>
          <a:bodyPr/>
          <a:lstStyle/>
          <a:p>
            <a:pPr lvl="0">
              <a:defRPr b="0">
                <a:solidFill>
                  <a:srgbClr val="000000"/>
                </a:solidFill>
                <a:latin typeface="+mn-lt"/>
              </a:defRPr>
            </a:pPr>
          </a:p>
        </c:txPr>
        <c:crossAx val="94653569"/>
      </c:catAx>
      <c:valAx>
        <c:axId val="9465356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97494263"/>
      </c:valAx>
      <c:spPr>
        <a:solidFill>
          <a:srgbClr val="FCF1E5"/>
        </a:solidFill>
      </c:spPr>
    </c:plotArea>
    <c:legend>
      <c:legendPos val="b"/>
      <c:overlay val="0"/>
      <c:txPr>
        <a:bodyPr/>
        <a:lstStyle/>
        <a:p>
          <a:pPr lvl="0">
            <a:defRPr b="0" sz="1200">
              <a:solidFill>
                <a:srgbClr val="333333"/>
              </a:solidFill>
              <a:latin typeface="Merriweather"/>
            </a:defRPr>
          </a:pPr>
        </a:p>
      </c:txPr>
    </c:legend>
  </c:chart>
  <c:spPr>
    <a:solidFill>
      <a:srgbClr val="FCF1E5"/>
    </a:solidFill>
  </c:spPr>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714375</xdr:colOff>
      <xdr:row>20</xdr:row>
      <xdr:rowOff>95250</xdr:rowOff>
    </xdr:from>
    <xdr:ext cx="1485900" cy="285750"/>
    <xdr:sp>
      <xdr:nvSpPr>
        <xdr:cNvPr id="3" name="Shape 3"/>
        <xdr:cNvSpPr/>
      </xdr:nvSpPr>
      <xdr:spPr>
        <a:xfrm>
          <a:off x="2942975" y="503125"/>
          <a:ext cx="1466100" cy="270900"/>
        </a:xfrm>
        <a:prstGeom prst="roundRect">
          <a:avLst>
            <a:gd fmla="val 16667" name="adj"/>
          </a:avLst>
        </a:prstGeom>
        <a:solidFill>
          <a:srgbClr val="000000"/>
        </a:solidFill>
        <a:ln cap="flat" cmpd="sng" w="19050">
          <a:solidFill>
            <a:srgbClr val="FFFFFF"/>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solidFill>
                <a:srgbClr val="FFFFFF"/>
              </a:solidFill>
              <a:latin typeface="Merriweather"/>
              <a:ea typeface="Merriweather"/>
              <a:cs typeface="Merriweather"/>
              <a:sym typeface="Merriweather"/>
            </a:rPr>
            <a:t>Check NI Record</a:t>
          </a:r>
          <a:endParaRPr sz="1200">
            <a:solidFill>
              <a:srgbClr val="FFFFFF"/>
            </a:solidFill>
            <a:latin typeface="Merriweather"/>
            <a:ea typeface="Merriweather"/>
            <a:cs typeface="Merriweather"/>
            <a:sym typeface="Merriweather"/>
          </a:endParaRPr>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219075</xdr:colOff>
      <xdr:row>2</xdr:row>
      <xdr:rowOff>228600</xdr:rowOff>
    </xdr:from>
    <xdr:ext cx="5191125" cy="32575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114300</xdr:colOff>
      <xdr:row>16</xdr:row>
      <xdr:rowOff>180975</xdr:rowOff>
    </xdr:from>
    <xdr:ext cx="1162050" cy="428625"/>
    <xdr:sp>
      <xdr:nvSpPr>
        <xdr:cNvPr id="4" name="Shape 4"/>
        <xdr:cNvSpPr/>
      </xdr:nvSpPr>
      <xdr:spPr>
        <a:xfrm>
          <a:off x="3617050" y="665200"/>
          <a:ext cx="1139400" cy="407100"/>
        </a:xfrm>
        <a:prstGeom prst="roundRect">
          <a:avLst>
            <a:gd fmla="val 16667" name="adj"/>
          </a:avLst>
        </a:prstGeom>
        <a:solidFill>
          <a:srgbClr val="000000"/>
        </a:solidFill>
        <a:ln cap="flat" cmpd="sng" w="38100">
          <a:solidFill>
            <a:srgbClr val="EFEFEF"/>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900">
              <a:solidFill>
                <a:srgbClr val="FFFFFF"/>
              </a:solidFill>
              <a:latin typeface="Merriweather"/>
              <a:ea typeface="Merriweather"/>
              <a:cs typeface="Merriweather"/>
              <a:sym typeface="Merriweather"/>
            </a:rPr>
            <a:t>Click to get latest CPI figure</a:t>
          </a:r>
          <a:endParaRPr sz="900">
            <a:solidFill>
              <a:srgbClr val="FFFFFF"/>
            </a:solidFill>
            <a:latin typeface="Merriweather"/>
            <a:ea typeface="Merriweather"/>
            <a:cs typeface="Merriweather"/>
            <a:sym typeface="Merriweather"/>
          </a:endParaRPr>
        </a:p>
      </xdr:txBody>
    </xdr:sp>
    <xdr:clientData fLocksWithSheet="0"/>
  </xdr:oneCellAnchor>
  <xdr:oneCellAnchor>
    <xdr:from>
      <xdr:col>7</xdr:col>
      <xdr:colOff>428625</xdr:colOff>
      <xdr:row>16</xdr:row>
      <xdr:rowOff>85725</xdr:rowOff>
    </xdr:from>
    <xdr:ext cx="1571625" cy="781050"/>
    <xdr:sp>
      <xdr:nvSpPr>
        <xdr:cNvPr id="5" name="Shape 5"/>
        <xdr:cNvSpPr/>
      </xdr:nvSpPr>
      <xdr:spPr>
        <a:xfrm>
          <a:off x="3297600" y="543050"/>
          <a:ext cx="1548000" cy="763200"/>
        </a:xfrm>
        <a:prstGeom prst="roundRect">
          <a:avLst>
            <a:gd fmla="val 16667" name="adj"/>
          </a:avLst>
        </a:prstGeom>
        <a:solidFill>
          <a:srgbClr val="000000"/>
        </a:solidFill>
        <a:ln cap="flat" cmpd="sng" w="38100">
          <a:solidFill>
            <a:srgbClr val="EFEFEF"/>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solidFill>
                <a:srgbClr val="FFFFFF"/>
              </a:solidFill>
              <a:latin typeface="Merriweather"/>
              <a:ea typeface="Merriweather"/>
              <a:cs typeface="Merriweather"/>
              <a:sym typeface="Merriweather"/>
            </a:rPr>
            <a:t>Calculate Pension</a:t>
          </a:r>
          <a:endParaRPr sz="1200">
            <a:solidFill>
              <a:srgbClr val="FFFFFF"/>
            </a:solidFill>
            <a:latin typeface="Merriweather"/>
            <a:ea typeface="Merriweather"/>
            <a:cs typeface="Merriweather"/>
            <a:sym typeface="Merriweather"/>
          </a:endParaRPr>
        </a:p>
        <a:p>
          <a:pPr indent="0" lvl="0" marL="0" rtl="0" algn="ctr">
            <a:spcBef>
              <a:spcPts val="0"/>
            </a:spcBef>
            <a:spcAft>
              <a:spcPts val="0"/>
            </a:spcAft>
            <a:buNone/>
          </a:pPr>
          <a:r>
            <a:rPr lang="en-US" sz="1200">
              <a:solidFill>
                <a:srgbClr val="FFFFFF"/>
              </a:solidFill>
              <a:latin typeface="Merriweather"/>
              <a:ea typeface="Merriweather"/>
              <a:cs typeface="Merriweather"/>
              <a:sym typeface="Merriweather"/>
            </a:rPr>
            <a:t>(15 - 25 seconds)</a:t>
          </a:r>
          <a:endParaRPr sz="1200">
            <a:solidFill>
              <a:srgbClr val="FFFFFF"/>
            </a:solidFill>
            <a:latin typeface="Merriweather"/>
            <a:ea typeface="Merriweather"/>
            <a:cs typeface="Merriweather"/>
            <a:sym typeface="Merriweather"/>
          </a:endParaRPr>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47625</xdr:colOff>
      <xdr:row>0</xdr:row>
      <xdr:rowOff>47625</xdr:rowOff>
    </xdr:from>
    <xdr:ext cx="1666875" cy="466725"/>
    <xdr:sp>
      <xdr:nvSpPr>
        <xdr:cNvPr id="6" name="Shape 6"/>
        <xdr:cNvSpPr/>
      </xdr:nvSpPr>
      <xdr:spPr>
        <a:xfrm>
          <a:off x="2611625" y="1025275"/>
          <a:ext cx="1646700" cy="451800"/>
        </a:xfrm>
        <a:prstGeom prst="roundRect">
          <a:avLst>
            <a:gd fmla="val 16667" name="adj"/>
          </a:avLst>
        </a:prstGeom>
        <a:solidFill>
          <a:srgbClr val="000000"/>
        </a:solidFill>
        <a:ln cap="flat" cmpd="sng" w="38100">
          <a:solidFill>
            <a:srgbClr val="FFFFFF"/>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solidFill>
                <a:srgbClr val="FFFFFF"/>
              </a:solidFill>
              <a:latin typeface="Merriweather"/>
              <a:ea typeface="Merriweather"/>
              <a:cs typeface="Merriweather"/>
              <a:sym typeface="Merriweather"/>
            </a:rPr>
            <a:t>Click for m</a:t>
          </a:r>
          <a:r>
            <a:rPr lang="en-US" sz="1200">
              <a:solidFill>
                <a:srgbClr val="FFFFFF"/>
              </a:solidFill>
              <a:latin typeface="Merriweather"/>
              <a:ea typeface="Merriweather"/>
              <a:cs typeface="Merriweather"/>
              <a:sym typeface="Merriweather"/>
            </a:rPr>
            <a:t>onthly or annual views</a:t>
          </a:r>
          <a:endParaRPr sz="1200">
            <a:solidFill>
              <a:srgbClr val="FFFFFF"/>
            </a:solidFill>
            <a:latin typeface="Merriweather"/>
            <a:ea typeface="Merriweather"/>
            <a:cs typeface="Merriweather"/>
            <a:sym typeface="Merriweather"/>
          </a:endParaRPr>
        </a:p>
      </xdr:txBody>
    </xdr:sp>
    <xdr:clientData fLocksWithSheet="0"/>
  </xdr:oneCellAnchor>
  <xdr:oneCellAnchor>
    <xdr:from>
      <xdr:col>4</xdr:col>
      <xdr:colOff>838200</xdr:colOff>
      <xdr:row>0</xdr:row>
      <xdr:rowOff>57150</xdr:rowOff>
    </xdr:from>
    <xdr:ext cx="1428750" cy="457200"/>
    <xdr:sp>
      <xdr:nvSpPr>
        <xdr:cNvPr id="7" name="Shape 7"/>
        <xdr:cNvSpPr/>
      </xdr:nvSpPr>
      <xdr:spPr>
        <a:xfrm>
          <a:off x="2963075" y="653750"/>
          <a:ext cx="1405800" cy="441900"/>
        </a:xfrm>
        <a:prstGeom prst="roundRect">
          <a:avLst>
            <a:gd fmla="val 16667" name="adj"/>
          </a:avLst>
        </a:prstGeom>
        <a:solidFill>
          <a:srgbClr val="000000"/>
        </a:solidFill>
        <a:ln cap="flat" cmpd="sng" w="38100">
          <a:solidFill>
            <a:srgbClr val="FFFFFF"/>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solidFill>
                <a:srgbClr val="FFFFFF"/>
              </a:solidFill>
              <a:latin typeface="Merriweather"/>
              <a:ea typeface="Merriweather"/>
              <a:cs typeface="Merriweather"/>
              <a:sym typeface="Merriweather"/>
            </a:rPr>
            <a:t>Click to u</a:t>
          </a:r>
          <a:r>
            <a:rPr lang="en-US" sz="1200">
              <a:solidFill>
                <a:srgbClr val="FFFFFF"/>
              </a:solidFill>
              <a:latin typeface="Merriweather"/>
              <a:ea typeface="Merriweather"/>
              <a:cs typeface="Merriweather"/>
              <a:sym typeface="Merriweather"/>
            </a:rPr>
            <a:t>nhide all rows</a:t>
          </a:r>
          <a:endParaRPr sz="1200">
            <a:solidFill>
              <a:srgbClr val="FFFFFF"/>
            </a:solidFill>
            <a:latin typeface="Merriweather"/>
            <a:ea typeface="Merriweather"/>
            <a:cs typeface="Merriweather"/>
            <a:sym typeface="Merriweather"/>
          </a:endParaRPr>
        </a:p>
      </xdr:txBody>
    </xdr: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3</xdr:row>
      <xdr:rowOff>0</xdr:rowOff>
    </xdr:from>
    <xdr:ext cx="4762500" cy="3333750"/>
    <xdr:graphicFrame>
      <xdr:nvGraphicFramePr>
        <xdr:cNvPr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133350</xdr:colOff>
      <xdr:row>16</xdr:row>
      <xdr:rowOff>180975</xdr:rowOff>
    </xdr:from>
    <xdr:ext cx="1162050" cy="428625"/>
    <xdr:sp>
      <xdr:nvSpPr>
        <xdr:cNvPr id="4" name="Shape 4"/>
        <xdr:cNvSpPr/>
      </xdr:nvSpPr>
      <xdr:spPr>
        <a:xfrm>
          <a:off x="3617050" y="665200"/>
          <a:ext cx="1139400" cy="407100"/>
        </a:xfrm>
        <a:prstGeom prst="roundRect">
          <a:avLst>
            <a:gd fmla="val 16667" name="adj"/>
          </a:avLst>
        </a:prstGeom>
        <a:solidFill>
          <a:srgbClr val="000000"/>
        </a:solidFill>
        <a:ln cap="flat" cmpd="sng" w="38100">
          <a:solidFill>
            <a:srgbClr val="EFEFEF"/>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900">
              <a:solidFill>
                <a:srgbClr val="FFFFFF"/>
              </a:solidFill>
              <a:latin typeface="Merriweather"/>
              <a:ea typeface="Merriweather"/>
              <a:cs typeface="Merriweather"/>
              <a:sym typeface="Merriweather"/>
            </a:rPr>
            <a:t>Click to get latest CPI figure</a:t>
          </a:r>
          <a:endParaRPr sz="900">
            <a:solidFill>
              <a:srgbClr val="FFFFFF"/>
            </a:solidFill>
            <a:latin typeface="Merriweather"/>
            <a:ea typeface="Merriweather"/>
            <a:cs typeface="Merriweather"/>
            <a:sym typeface="Merriweather"/>
          </a:endParaRPr>
        </a:p>
      </xdr:txBody>
    </xdr:sp>
    <xdr:clientData fLocksWithSheet="0"/>
  </xdr:oneCellAnchor>
  <xdr:oneCellAnchor>
    <xdr:from>
      <xdr:col>7</xdr:col>
      <xdr:colOff>381000</xdr:colOff>
      <xdr:row>16</xdr:row>
      <xdr:rowOff>76200</xdr:rowOff>
    </xdr:from>
    <xdr:ext cx="1571625" cy="781050"/>
    <xdr:sp>
      <xdr:nvSpPr>
        <xdr:cNvPr id="5" name="Shape 5"/>
        <xdr:cNvSpPr/>
      </xdr:nvSpPr>
      <xdr:spPr>
        <a:xfrm>
          <a:off x="3297600" y="543050"/>
          <a:ext cx="1548000" cy="763200"/>
        </a:xfrm>
        <a:prstGeom prst="roundRect">
          <a:avLst>
            <a:gd fmla="val 16667" name="adj"/>
          </a:avLst>
        </a:prstGeom>
        <a:solidFill>
          <a:srgbClr val="000000"/>
        </a:solidFill>
        <a:ln cap="flat" cmpd="sng" w="38100">
          <a:solidFill>
            <a:srgbClr val="EFEFEF"/>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solidFill>
                <a:srgbClr val="FFFFFF"/>
              </a:solidFill>
              <a:latin typeface="Merriweather"/>
              <a:ea typeface="Merriweather"/>
              <a:cs typeface="Merriweather"/>
              <a:sym typeface="Merriweather"/>
            </a:rPr>
            <a:t>Calculate Pension</a:t>
          </a:r>
          <a:endParaRPr sz="1200">
            <a:solidFill>
              <a:srgbClr val="FFFFFF"/>
            </a:solidFill>
            <a:latin typeface="Merriweather"/>
            <a:ea typeface="Merriweather"/>
            <a:cs typeface="Merriweather"/>
            <a:sym typeface="Merriweather"/>
          </a:endParaRPr>
        </a:p>
        <a:p>
          <a:pPr indent="0" lvl="0" marL="0" rtl="0" algn="ctr">
            <a:spcBef>
              <a:spcPts val="0"/>
            </a:spcBef>
            <a:spcAft>
              <a:spcPts val="0"/>
            </a:spcAft>
            <a:buNone/>
          </a:pPr>
          <a:r>
            <a:rPr lang="en-US" sz="1200">
              <a:solidFill>
                <a:srgbClr val="FFFFFF"/>
              </a:solidFill>
              <a:latin typeface="Merriweather"/>
              <a:ea typeface="Merriweather"/>
              <a:cs typeface="Merriweather"/>
              <a:sym typeface="Merriweather"/>
            </a:rPr>
            <a:t>(15 - 25 seconds)</a:t>
          </a:r>
          <a:endParaRPr sz="1200">
            <a:solidFill>
              <a:srgbClr val="FFFFFF"/>
            </a:solidFill>
            <a:latin typeface="Merriweather"/>
            <a:ea typeface="Merriweather"/>
            <a:cs typeface="Merriweather"/>
            <a:sym typeface="Merriweather"/>
          </a:endParaRPr>
        </a:p>
      </xdr:txBody>
    </xdr: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47625</xdr:colOff>
      <xdr:row>0</xdr:row>
      <xdr:rowOff>47625</xdr:rowOff>
    </xdr:from>
    <xdr:ext cx="1666875" cy="466725"/>
    <xdr:sp>
      <xdr:nvSpPr>
        <xdr:cNvPr id="6" name="Shape 6"/>
        <xdr:cNvSpPr/>
      </xdr:nvSpPr>
      <xdr:spPr>
        <a:xfrm>
          <a:off x="2611625" y="1025275"/>
          <a:ext cx="1646700" cy="451800"/>
        </a:xfrm>
        <a:prstGeom prst="roundRect">
          <a:avLst>
            <a:gd fmla="val 16667" name="adj"/>
          </a:avLst>
        </a:prstGeom>
        <a:solidFill>
          <a:srgbClr val="000000"/>
        </a:solidFill>
        <a:ln cap="flat" cmpd="sng" w="38100">
          <a:solidFill>
            <a:srgbClr val="FFFFFF"/>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solidFill>
                <a:srgbClr val="FFFFFF"/>
              </a:solidFill>
              <a:latin typeface="Merriweather"/>
              <a:ea typeface="Merriweather"/>
              <a:cs typeface="Merriweather"/>
              <a:sym typeface="Merriweather"/>
            </a:rPr>
            <a:t>Click for m</a:t>
          </a:r>
          <a:r>
            <a:rPr lang="en-US" sz="1200">
              <a:solidFill>
                <a:srgbClr val="FFFFFF"/>
              </a:solidFill>
              <a:latin typeface="Merriweather"/>
              <a:ea typeface="Merriweather"/>
              <a:cs typeface="Merriweather"/>
              <a:sym typeface="Merriweather"/>
            </a:rPr>
            <a:t>onthly or annual views</a:t>
          </a:r>
          <a:endParaRPr sz="1200">
            <a:solidFill>
              <a:srgbClr val="FFFFFF"/>
            </a:solidFill>
            <a:latin typeface="Merriweather"/>
            <a:ea typeface="Merriweather"/>
            <a:cs typeface="Merriweather"/>
            <a:sym typeface="Merriweather"/>
          </a:endParaRPr>
        </a:p>
      </xdr:txBody>
    </xdr:sp>
    <xdr:clientData fLocksWithSheet="0"/>
  </xdr:oneCellAnchor>
  <xdr:oneCellAnchor>
    <xdr:from>
      <xdr:col>4</xdr:col>
      <xdr:colOff>838200</xdr:colOff>
      <xdr:row>0</xdr:row>
      <xdr:rowOff>57150</xdr:rowOff>
    </xdr:from>
    <xdr:ext cx="1428750" cy="457200"/>
    <xdr:sp>
      <xdr:nvSpPr>
        <xdr:cNvPr id="7" name="Shape 7"/>
        <xdr:cNvSpPr/>
      </xdr:nvSpPr>
      <xdr:spPr>
        <a:xfrm>
          <a:off x="2963075" y="653750"/>
          <a:ext cx="1405800" cy="441900"/>
        </a:xfrm>
        <a:prstGeom prst="roundRect">
          <a:avLst>
            <a:gd fmla="val 16667" name="adj"/>
          </a:avLst>
        </a:prstGeom>
        <a:solidFill>
          <a:srgbClr val="000000"/>
        </a:solidFill>
        <a:ln cap="flat" cmpd="sng" w="38100">
          <a:solidFill>
            <a:srgbClr val="FFFFFF"/>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solidFill>
                <a:srgbClr val="FFFFFF"/>
              </a:solidFill>
              <a:latin typeface="Merriweather"/>
              <a:ea typeface="Merriweather"/>
              <a:cs typeface="Merriweather"/>
              <a:sym typeface="Merriweather"/>
            </a:rPr>
            <a:t>Click to u</a:t>
          </a:r>
          <a:r>
            <a:rPr lang="en-US" sz="1200">
              <a:solidFill>
                <a:srgbClr val="FFFFFF"/>
              </a:solidFill>
              <a:latin typeface="Merriweather"/>
              <a:ea typeface="Merriweather"/>
              <a:cs typeface="Merriweather"/>
              <a:sym typeface="Merriweather"/>
            </a:rPr>
            <a:t>nhide all rows</a:t>
          </a:r>
          <a:endParaRPr sz="1200">
            <a:solidFill>
              <a:srgbClr val="FFFFFF"/>
            </a:solidFill>
            <a:latin typeface="Merriweather"/>
            <a:ea typeface="Merriweather"/>
            <a:cs typeface="Merriweather"/>
            <a:sym typeface="Merriweather"/>
          </a:endParaRPr>
        </a:p>
      </xdr:txBody>
    </xdr: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1</xdr:row>
      <xdr:rowOff>0</xdr:rowOff>
    </xdr:from>
    <xdr:ext cx="8572500" cy="3810000"/>
    <xdr:graphicFrame>
      <xdr:nvGraphicFramePr>
        <xdr:cNvPr id="3" name="Chart 3"/>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152400</xdr:colOff>
      <xdr:row>3</xdr:row>
      <xdr:rowOff>152400</xdr:rowOff>
    </xdr:from>
    <xdr:ext cx="1247775" cy="600075"/>
    <xdr:sp>
      <xdr:nvSpPr>
        <xdr:cNvPr id="8" name="Shape 8"/>
        <xdr:cNvSpPr/>
      </xdr:nvSpPr>
      <xdr:spPr>
        <a:xfrm>
          <a:off x="2385925" y="801100"/>
          <a:ext cx="1227000" cy="582900"/>
        </a:xfrm>
        <a:prstGeom prst="roundRect">
          <a:avLst>
            <a:gd fmla="val 16667" name="adj"/>
          </a:avLst>
        </a:prstGeom>
        <a:solidFill>
          <a:srgbClr val="00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solidFill>
                <a:srgbClr val="FFFFFF"/>
              </a:solidFill>
              <a:latin typeface="Merriweather"/>
              <a:ea typeface="Merriweather"/>
              <a:cs typeface="Merriweather"/>
              <a:sym typeface="Merriweather"/>
            </a:rPr>
            <a:t>Temp Button</a:t>
          </a:r>
          <a:endParaRPr sz="1400">
            <a:solidFill>
              <a:srgbClr val="FFFFFF"/>
            </a:solidFill>
            <a:latin typeface="Merriweather"/>
            <a:ea typeface="Merriweather"/>
            <a:cs typeface="Merriweather"/>
            <a:sym typeface="Merriweather"/>
          </a:endParaRPr>
        </a:p>
      </xdr:txBody>
    </xdr:sp>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5"/>
    <col customWidth="1" min="2" max="2" width="158.63"/>
  </cols>
  <sheetData>
    <row r="1" ht="45.75" customHeight="1">
      <c r="A1" s="1"/>
      <c r="B1" s="2" t="s">
        <v>0</v>
      </c>
      <c r="C1" s="1"/>
    </row>
    <row r="2">
      <c r="A2" s="3"/>
      <c r="B2" s="4"/>
      <c r="C2" s="5"/>
    </row>
    <row r="3">
      <c r="A3" s="3"/>
      <c r="B3" s="6"/>
      <c r="C3" s="5"/>
    </row>
    <row r="4">
      <c r="A4" s="7"/>
      <c r="B4" s="8" t="s">
        <v>1</v>
      </c>
      <c r="C4" s="5"/>
    </row>
    <row r="5" ht="28.5" customHeight="1">
      <c r="A5" s="7"/>
      <c r="B5" s="9" t="s">
        <v>2</v>
      </c>
      <c r="C5" s="3"/>
    </row>
    <row r="6" ht="66.0" customHeight="1">
      <c r="A6" s="1"/>
      <c r="B6" s="8" t="s">
        <v>3</v>
      </c>
      <c r="C6" s="10"/>
    </row>
  </sheetData>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38"/>
    <col customWidth="1" min="2" max="2" width="24.38"/>
    <col customWidth="1" min="3" max="3" width="3.38"/>
    <col customWidth="1" min="4" max="4" width="11.63"/>
    <col customWidth="1" min="5" max="5" width="12.63"/>
    <col customWidth="1" min="6" max="6" width="10.88"/>
    <col customWidth="1" min="7" max="7" width="16.88"/>
    <col customWidth="1" min="8" max="8" width="4.25"/>
    <col customWidth="1" min="9" max="9" width="25.25"/>
    <col customWidth="1" min="10" max="10" width="3.25"/>
    <col customWidth="1" min="11" max="11" width="10.38"/>
    <col customWidth="1" min="13" max="13" width="10.88"/>
    <col customWidth="1" min="14" max="14" width="16.13"/>
    <col customWidth="1" min="15" max="15" width="2.88"/>
  </cols>
  <sheetData>
    <row r="1" ht="36.75" customHeight="1">
      <c r="A1" s="11"/>
      <c r="B1" s="12" t="s">
        <v>4</v>
      </c>
      <c r="C1" s="11"/>
      <c r="D1" s="11"/>
      <c r="E1" s="11"/>
      <c r="F1" s="11"/>
      <c r="G1" s="11"/>
      <c r="H1" s="11"/>
      <c r="I1" s="11"/>
      <c r="J1" s="11"/>
      <c r="K1" s="11"/>
      <c r="L1" s="11"/>
      <c r="M1" s="11"/>
      <c r="N1" s="11"/>
      <c r="O1" s="11"/>
      <c r="P1" s="11"/>
    </row>
    <row r="2" ht="21.0" customHeight="1">
      <c r="A2" s="11"/>
      <c r="B2" s="13" t="s">
        <v>5</v>
      </c>
      <c r="C2" s="11"/>
      <c r="D2" s="11"/>
      <c r="E2" s="11"/>
      <c r="F2" s="11"/>
      <c r="G2" s="11"/>
      <c r="H2" s="13"/>
      <c r="I2" s="13" t="s">
        <v>6</v>
      </c>
      <c r="J2" s="11"/>
      <c r="K2" s="11"/>
      <c r="L2" s="11"/>
      <c r="M2" s="11"/>
      <c r="N2" s="11"/>
      <c r="O2" s="11"/>
      <c r="P2" s="11"/>
    </row>
    <row r="3" ht="37.5" customHeight="1">
      <c r="A3" s="14"/>
      <c r="B3" s="15"/>
      <c r="C3" s="15"/>
      <c r="D3" s="16" t="s">
        <v>7</v>
      </c>
      <c r="E3" s="16" t="s">
        <v>8</v>
      </c>
      <c r="F3" s="17" t="s">
        <v>9</v>
      </c>
      <c r="G3" s="17" t="s">
        <v>10</v>
      </c>
      <c r="H3" s="15"/>
      <c r="I3" s="15"/>
      <c r="J3" s="15"/>
      <c r="K3" s="16" t="s">
        <v>7</v>
      </c>
      <c r="L3" s="16" t="s">
        <v>8</v>
      </c>
      <c r="M3" s="17" t="s">
        <v>9</v>
      </c>
      <c r="N3" s="17" t="s">
        <v>10</v>
      </c>
      <c r="O3" s="18"/>
      <c r="P3" s="11"/>
    </row>
    <row r="4" ht="20.25" customHeight="1">
      <c r="A4" s="14"/>
      <c r="B4" s="19" t="s">
        <v>11</v>
      </c>
      <c r="C4" s="20"/>
      <c r="D4" s="21">
        <v>990000.0</v>
      </c>
      <c r="E4" s="22">
        <v>0.065</v>
      </c>
      <c r="F4" s="18"/>
      <c r="G4" s="21">
        <v>0.0</v>
      </c>
      <c r="H4" s="15"/>
      <c r="I4" s="19" t="s">
        <v>11</v>
      </c>
      <c r="J4" s="20"/>
      <c r="K4" s="21">
        <v>0.0</v>
      </c>
      <c r="L4" s="22">
        <v>0.0</v>
      </c>
      <c r="M4" s="18"/>
      <c r="N4" s="21">
        <v>0.0</v>
      </c>
      <c r="O4" s="18"/>
      <c r="P4" s="11"/>
    </row>
    <row r="5" ht="20.25" customHeight="1">
      <c r="A5" s="14"/>
      <c r="B5" s="19"/>
      <c r="C5" s="15"/>
      <c r="D5" s="23"/>
      <c r="E5" s="24"/>
      <c r="F5" s="25"/>
      <c r="G5" s="15"/>
      <c r="H5" s="15"/>
      <c r="I5" s="19"/>
      <c r="J5" s="15"/>
      <c r="K5" s="23"/>
      <c r="L5" s="24"/>
      <c r="M5" s="15"/>
      <c r="N5" s="15"/>
      <c r="O5" s="18"/>
      <c r="P5" s="11"/>
    </row>
    <row r="6" ht="20.25" customHeight="1">
      <c r="A6" s="14"/>
      <c r="B6" s="19" t="s">
        <v>12</v>
      </c>
      <c r="C6" s="20"/>
      <c r="D6" s="21">
        <v>0.0</v>
      </c>
      <c r="E6" s="26" t="s">
        <v>13</v>
      </c>
      <c r="F6" s="27"/>
      <c r="G6" s="15"/>
      <c r="H6" s="15"/>
      <c r="I6" s="19" t="s">
        <v>12</v>
      </c>
      <c r="J6" s="20"/>
      <c r="K6" s="21">
        <v>0.0</v>
      </c>
      <c r="L6" s="28" t="s">
        <v>13</v>
      </c>
      <c r="M6" s="27">
        <v>0.0</v>
      </c>
      <c r="N6" s="15"/>
      <c r="O6" s="18"/>
      <c r="P6" s="11"/>
    </row>
    <row r="7" ht="20.25" customHeight="1">
      <c r="A7" s="14"/>
      <c r="B7" s="19" t="s">
        <v>14</v>
      </c>
      <c r="C7" s="20"/>
      <c r="D7" s="21">
        <v>0.0</v>
      </c>
      <c r="E7" s="28" t="s">
        <v>13</v>
      </c>
      <c r="F7" s="27"/>
      <c r="G7" s="15"/>
      <c r="H7" s="15"/>
      <c r="I7" s="19" t="s">
        <v>14</v>
      </c>
      <c r="J7" s="20"/>
      <c r="K7" s="21">
        <v>0.0</v>
      </c>
      <c r="L7" s="28" t="s">
        <v>13</v>
      </c>
      <c r="M7" s="27"/>
      <c r="N7" s="15"/>
      <c r="O7" s="18"/>
      <c r="P7" s="11"/>
    </row>
    <row r="8" ht="20.25" customHeight="1">
      <c r="A8" s="14"/>
      <c r="B8" s="19" t="s">
        <v>15</v>
      </c>
      <c r="C8" s="20"/>
      <c r="D8" s="21">
        <v>0.0</v>
      </c>
      <c r="E8" s="28" t="s">
        <v>13</v>
      </c>
      <c r="F8" s="27"/>
      <c r="G8" s="15"/>
      <c r="H8" s="15"/>
      <c r="I8" s="19" t="s">
        <v>15</v>
      </c>
      <c r="J8" s="20"/>
      <c r="K8" s="21">
        <v>0.0</v>
      </c>
      <c r="L8" s="28" t="s">
        <v>13</v>
      </c>
      <c r="M8" s="27"/>
      <c r="N8" s="15"/>
      <c r="O8" s="18"/>
      <c r="P8" s="11"/>
    </row>
    <row r="9" ht="20.25" customHeight="1">
      <c r="A9" s="14"/>
      <c r="B9" s="19"/>
      <c r="C9" s="15"/>
      <c r="D9" s="29"/>
      <c r="E9" s="15"/>
      <c r="F9" s="15"/>
      <c r="G9" s="15"/>
      <c r="H9" s="15"/>
      <c r="I9" s="19"/>
      <c r="J9" s="15"/>
      <c r="K9" s="30"/>
      <c r="L9" s="15"/>
      <c r="M9" s="15"/>
      <c r="N9" s="15"/>
      <c r="O9" s="18"/>
      <c r="P9" s="11"/>
    </row>
    <row r="10" ht="20.25" customHeight="1">
      <c r="A10" s="14"/>
      <c r="B10" s="19" t="s">
        <v>16</v>
      </c>
      <c r="C10" s="20"/>
      <c r="D10" s="21">
        <v>0.0</v>
      </c>
      <c r="E10" s="26" t="s">
        <v>13</v>
      </c>
      <c r="F10" s="27">
        <v>2026.0</v>
      </c>
      <c r="G10" s="15"/>
      <c r="H10" s="15"/>
      <c r="I10" s="19" t="s">
        <v>16</v>
      </c>
      <c r="J10" s="20"/>
      <c r="K10" s="21">
        <v>7000.0</v>
      </c>
      <c r="L10" s="26" t="s">
        <v>13</v>
      </c>
      <c r="M10" s="27">
        <v>2026.0</v>
      </c>
      <c r="N10" s="15"/>
      <c r="O10" s="18"/>
      <c r="P10" s="11"/>
    </row>
    <row r="11" ht="20.25" customHeight="1">
      <c r="A11" s="14"/>
      <c r="B11" s="19" t="s">
        <v>17</v>
      </c>
      <c r="C11" s="20"/>
      <c r="D11" s="21">
        <v>0.0</v>
      </c>
      <c r="E11" s="28" t="s">
        <v>13</v>
      </c>
      <c r="F11" s="27"/>
      <c r="G11" s="15"/>
      <c r="H11" s="15"/>
      <c r="I11" s="19" t="s">
        <v>17</v>
      </c>
      <c r="J11" s="20"/>
      <c r="K11" s="21">
        <v>3000.0</v>
      </c>
      <c r="L11" s="28" t="s">
        <v>13</v>
      </c>
      <c r="M11" s="27">
        <v>2030.0</v>
      </c>
      <c r="N11" s="15"/>
      <c r="O11" s="18"/>
      <c r="P11" s="11"/>
    </row>
    <row r="12" ht="20.25" customHeight="1">
      <c r="A12" s="14"/>
      <c r="B12" s="19" t="s">
        <v>18</v>
      </c>
      <c r="C12" s="20"/>
      <c r="D12" s="21">
        <v>0.0</v>
      </c>
      <c r="E12" s="28" t="s">
        <v>13</v>
      </c>
      <c r="F12" s="27"/>
      <c r="G12" s="15"/>
      <c r="H12" s="15"/>
      <c r="I12" s="19" t="s">
        <v>18</v>
      </c>
      <c r="J12" s="20"/>
      <c r="K12" s="21">
        <v>0.0</v>
      </c>
      <c r="L12" s="28" t="s">
        <v>13</v>
      </c>
      <c r="M12" s="27"/>
      <c r="N12" s="15"/>
      <c r="O12" s="18"/>
      <c r="P12" s="11"/>
    </row>
    <row r="13" ht="20.25" customHeight="1">
      <c r="A13" s="31"/>
      <c r="B13" s="32"/>
      <c r="C13" s="33"/>
      <c r="D13" s="34"/>
      <c r="E13" s="35"/>
      <c r="F13" s="36" t="s">
        <v>19</v>
      </c>
      <c r="G13" s="33"/>
      <c r="H13" s="15"/>
      <c r="I13" s="32"/>
      <c r="J13" s="33"/>
      <c r="K13" s="34"/>
      <c r="L13" s="35"/>
      <c r="M13" s="36" t="s">
        <v>19</v>
      </c>
      <c r="N13" s="15"/>
      <c r="O13" s="18"/>
      <c r="P13" s="37"/>
    </row>
    <row r="14" ht="20.25" customHeight="1">
      <c r="A14" s="38"/>
      <c r="B14" s="19" t="s">
        <v>20</v>
      </c>
      <c r="C14" s="20"/>
      <c r="D14" s="21">
        <v>20000.0</v>
      </c>
      <c r="E14" s="22">
        <v>0.038</v>
      </c>
      <c r="F14" s="21">
        <f>calculateAnnualDrawdown('Person 1 Calculator'!$F$4, D14, E14, 'Person 1 Calculator'!$F$5-'Person 1 Calculator'!$F$4, G14)</f>
        <v>636.62</v>
      </c>
      <c r="G14" s="21">
        <v>0.0</v>
      </c>
      <c r="H14" s="15"/>
      <c r="I14" s="19" t="s">
        <v>20</v>
      </c>
      <c r="J14" s="20"/>
      <c r="K14" s="21">
        <v>20000.0</v>
      </c>
      <c r="L14" s="22">
        <v>0.038</v>
      </c>
      <c r="M14" s="21">
        <f>calculateAnnualDrawdown('Person 1 Calculator'!$F$4, K14, L14, 'Person 1 Calculator'!$F$5-'Person 1 Calculator'!$F$4, N14)</f>
        <v>636.62</v>
      </c>
      <c r="N14" s="21">
        <v>0.0</v>
      </c>
      <c r="O14" s="18"/>
      <c r="P14" s="11"/>
    </row>
    <row r="15" ht="20.25" customHeight="1">
      <c r="A15" s="38"/>
      <c r="B15" s="19" t="s">
        <v>21</v>
      </c>
      <c r="C15" s="20"/>
      <c r="D15" s="21">
        <v>250000.0</v>
      </c>
      <c r="E15" s="22">
        <v>0.065</v>
      </c>
      <c r="F15" s="21">
        <f>calculateAnnualDrawdown('Person 1 Calculator'!$F$4, D15, E15, 'Person 1 Calculator'!$F$5-'Person 1 Calculator'!$F$4, G15)</f>
        <v>8062.48</v>
      </c>
      <c r="G15" s="21">
        <v>0.0</v>
      </c>
      <c r="H15" s="15"/>
      <c r="I15" s="19" t="s">
        <v>21</v>
      </c>
      <c r="J15" s="20"/>
      <c r="K15" s="21">
        <v>200000.0</v>
      </c>
      <c r="L15" s="22">
        <v>0.065</v>
      </c>
      <c r="M15" s="21">
        <f>calculateAnnualDrawdown('Person 1 Calculator'!$F$4, K15, L15, 'Person 1 Calculator'!$F$5-'Person 1 Calculator'!$F$4, N15)</f>
        <v>6449.99</v>
      </c>
      <c r="N15" s="21">
        <v>0.0</v>
      </c>
      <c r="O15" s="18"/>
      <c r="P15" s="11"/>
    </row>
    <row r="16" ht="20.25" customHeight="1">
      <c r="A16" s="38"/>
      <c r="B16" s="19" t="s">
        <v>22</v>
      </c>
      <c r="C16" s="20"/>
      <c r="D16" s="21">
        <v>50000.0</v>
      </c>
      <c r="E16" s="22">
        <v>0.065</v>
      </c>
      <c r="F16" s="21">
        <f>calculateAnnualDrawdown('Person 1 Calculator'!$F$4, D16, E16, 'Person 1 Calculator'!$F$5-'Person 1 Calculator'!$F$4, G16)</f>
        <v>1612.5</v>
      </c>
      <c r="G16" s="21">
        <v>0.0</v>
      </c>
      <c r="H16" s="15"/>
      <c r="I16" s="19" t="s">
        <v>22</v>
      </c>
      <c r="J16" s="20"/>
      <c r="K16" s="21">
        <v>150000.0</v>
      </c>
      <c r="L16" s="22">
        <v>0.065</v>
      </c>
      <c r="M16" s="21">
        <f>calculateAnnualDrawdown('Person 1 Calculator'!$F$4, K16, L16, 'Person 1 Calculator'!$F$5-'Person 1 Calculator'!$F$4, N16)</f>
        <v>4837.49</v>
      </c>
      <c r="N16" s="21">
        <v>0.0</v>
      </c>
      <c r="O16" s="18"/>
      <c r="P16" s="11"/>
    </row>
    <row r="17" ht="20.25" customHeight="1">
      <c r="A17" s="38"/>
      <c r="B17" s="19"/>
      <c r="C17" s="15"/>
      <c r="D17" s="39"/>
      <c r="E17" s="39"/>
      <c r="F17" s="24"/>
      <c r="G17" s="15"/>
      <c r="H17" s="15"/>
      <c r="I17" s="40"/>
      <c r="J17" s="15"/>
      <c r="K17" s="39"/>
      <c r="L17" s="39"/>
      <c r="M17" s="41"/>
      <c r="N17" s="15"/>
      <c r="O17" s="18"/>
      <c r="P17" s="11"/>
    </row>
    <row r="18" ht="20.25" customHeight="1">
      <c r="A18" s="38"/>
      <c r="B18" s="19" t="s">
        <v>23</v>
      </c>
      <c r="C18" s="20"/>
      <c r="D18" s="21">
        <v>20000.0</v>
      </c>
      <c r="E18" s="22">
        <v>0.025</v>
      </c>
      <c r="F18" s="42"/>
      <c r="G18" s="15"/>
      <c r="H18" s="15"/>
      <c r="I18" s="19" t="s">
        <v>23</v>
      </c>
      <c r="J18" s="20"/>
      <c r="K18" s="21">
        <v>0.0</v>
      </c>
      <c r="L18" s="22">
        <v>0.025</v>
      </c>
      <c r="M18" s="24"/>
      <c r="N18" s="15"/>
      <c r="O18" s="18"/>
      <c r="P18" s="11"/>
    </row>
    <row r="19" ht="20.25" customHeight="1">
      <c r="A19" s="38"/>
      <c r="B19" s="15"/>
      <c r="C19" s="15"/>
      <c r="D19" s="15"/>
      <c r="E19" s="15"/>
      <c r="F19" s="15"/>
      <c r="G19" s="18"/>
      <c r="H19" s="15"/>
      <c r="I19" s="19"/>
      <c r="J19" s="15"/>
      <c r="K19" s="24"/>
      <c r="L19" s="43"/>
      <c r="M19" s="24"/>
      <c r="N19" s="18"/>
      <c r="O19" s="18"/>
      <c r="P19" s="11"/>
    </row>
    <row r="20" ht="20.25" customHeight="1">
      <c r="A20" s="44"/>
      <c r="B20" s="45" t="s">
        <v>24</v>
      </c>
      <c r="C20" s="46"/>
      <c r="D20" s="46"/>
      <c r="E20" s="47"/>
      <c r="F20" s="48">
        <v>1.0</v>
      </c>
      <c r="G20" s="18"/>
      <c r="H20" s="15"/>
      <c r="I20" s="45" t="s">
        <v>24</v>
      </c>
      <c r="J20" s="46"/>
      <c r="K20" s="46"/>
      <c r="L20" s="47"/>
      <c r="M20" s="48">
        <v>1.0</v>
      </c>
      <c r="N20" s="18"/>
      <c r="O20" s="18"/>
      <c r="P20" s="11"/>
    </row>
    <row r="21" ht="20.25" customHeight="1">
      <c r="A21" s="44"/>
      <c r="B21" s="45" t="s">
        <v>25</v>
      </c>
      <c r="C21" s="47"/>
      <c r="D21" s="21">
        <f>fv('Person 1 Calculator'!$F$19,'Person 1 Calculator'!$F$7-year(today()),0,-(F20*(52*230.25)))</f>
        <v>17722.96482</v>
      </c>
      <c r="E21" s="24"/>
      <c r="F21" s="49"/>
      <c r="G21" s="15"/>
      <c r="H21" s="15"/>
      <c r="I21" s="45" t="s">
        <v>25</v>
      </c>
      <c r="J21" s="47"/>
      <c r="K21" s="21">
        <f>fv('Person 2 Calculator'!$F$19,'Person 2 Calculator'!$F$7-year(today()),0,-(M20*(52*230.25)))</f>
        <v>18431.88342</v>
      </c>
      <c r="L21" s="15"/>
      <c r="M21" s="15"/>
      <c r="N21" s="18"/>
      <c r="O21" s="18"/>
      <c r="P21" s="11"/>
    </row>
    <row r="22" ht="15.0" customHeight="1">
      <c r="A22" s="44"/>
      <c r="B22" s="19"/>
      <c r="C22" s="19"/>
      <c r="D22" s="50"/>
      <c r="E22" s="50"/>
      <c r="F22" s="19"/>
      <c r="G22" s="15"/>
      <c r="H22" s="15"/>
      <c r="I22" s="19"/>
      <c r="J22" s="15"/>
      <c r="K22" s="15"/>
      <c r="L22" s="15"/>
      <c r="M22" s="24"/>
      <c r="N22" s="15"/>
      <c r="O22" s="18"/>
      <c r="P22" s="11"/>
    </row>
    <row r="23" ht="39.75" customHeight="1">
      <c r="A23" s="51"/>
      <c r="B23" s="51"/>
      <c r="C23" s="51"/>
      <c r="D23" s="51"/>
      <c r="E23" s="51"/>
      <c r="F23" s="51"/>
      <c r="G23" s="51"/>
      <c r="H23" s="51"/>
      <c r="I23" s="51"/>
      <c r="J23" s="51"/>
      <c r="K23" s="51"/>
      <c r="L23" s="51"/>
      <c r="M23" s="51"/>
      <c r="N23" s="51"/>
      <c r="O23" s="51"/>
      <c r="P23" s="51"/>
    </row>
  </sheetData>
  <mergeCells count="4">
    <mergeCell ref="B20:E20"/>
    <mergeCell ref="I20:L20"/>
    <mergeCell ref="B21:C21"/>
    <mergeCell ref="I21:J21"/>
  </mergeCells>
  <dataValidations>
    <dataValidation type="custom" allowBlank="1" showDropDown="1" showErrorMessage="1" sqref="K4">
      <formula1>OR(K4=0, K4&gt;=100000)</formula1>
    </dataValidation>
    <dataValidation type="decimal" operator="greaterThanOrEqual" allowBlank="1" showDropDown="1" showInputMessage="1" showErrorMessage="1" prompt="Enter a number greater than or equal to 100000" sqref="D4">
      <formula1>100000.0</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30.25"/>
    <col customWidth="1" min="3" max="3" width="10.0"/>
    <col customWidth="1" min="4" max="4" width="9.88"/>
    <col customWidth="1" min="5" max="5" width="17.75"/>
    <col customWidth="1" min="7" max="7" width="4.75"/>
    <col customWidth="1" min="8" max="8" width="8.88"/>
    <col customWidth="1" min="9" max="9" width="13.75"/>
    <col customWidth="1" min="11" max="11" width="31.75"/>
    <col customWidth="1" min="12" max="12" width="19.5"/>
  </cols>
  <sheetData>
    <row r="1" ht="36.75" customHeight="1">
      <c r="A1" s="52"/>
      <c r="B1" s="53" t="s">
        <v>26</v>
      </c>
      <c r="C1" s="54"/>
      <c r="D1" s="54"/>
      <c r="E1" s="54"/>
      <c r="F1" s="54"/>
      <c r="G1" s="54"/>
      <c r="H1" s="54"/>
      <c r="I1" s="54"/>
      <c r="J1" s="54"/>
      <c r="K1" s="54"/>
      <c r="L1" s="55"/>
    </row>
    <row r="2" ht="27.75" customHeight="1">
      <c r="A2" s="52"/>
      <c r="B2" s="56" t="s">
        <v>27</v>
      </c>
      <c r="C2" s="57"/>
      <c r="D2" s="57"/>
      <c r="E2" s="58"/>
      <c r="F2" s="59"/>
      <c r="G2" s="56"/>
      <c r="H2" s="56" t="s">
        <v>28</v>
      </c>
      <c r="I2" s="58"/>
      <c r="J2" s="58"/>
      <c r="K2" s="58"/>
      <c r="L2" s="60"/>
    </row>
    <row r="3" ht="20.25" customHeight="1">
      <c r="A3" s="52"/>
      <c r="B3" s="45" t="s">
        <v>29</v>
      </c>
      <c r="C3" s="46"/>
      <c r="D3" s="47"/>
      <c r="E3" s="61"/>
      <c r="F3" s="62">
        <v>1968.0</v>
      </c>
      <c r="G3" s="61"/>
      <c r="H3" s="61"/>
      <c r="I3" s="61"/>
      <c r="J3" s="61"/>
      <c r="K3" s="61"/>
      <c r="L3" s="63"/>
    </row>
    <row r="4" ht="20.25" customHeight="1">
      <c r="A4" s="52"/>
      <c r="B4" s="45" t="s">
        <v>30</v>
      </c>
      <c r="C4" s="46"/>
      <c r="D4" s="47"/>
      <c r="E4" s="64"/>
      <c r="F4" s="65">
        <v>2026.0</v>
      </c>
      <c r="G4" s="64"/>
      <c r="H4" s="66"/>
      <c r="I4" s="64"/>
      <c r="J4" s="64"/>
      <c r="K4" s="64"/>
      <c r="L4" s="60"/>
    </row>
    <row r="5" ht="20.25" customHeight="1">
      <c r="A5" s="52"/>
      <c r="B5" s="45" t="s">
        <v>31</v>
      </c>
      <c r="C5" s="46"/>
      <c r="D5" s="47"/>
      <c r="E5" s="64"/>
      <c r="F5" s="67">
        <v>2058.0</v>
      </c>
      <c r="G5" s="64"/>
      <c r="H5" s="64"/>
      <c r="I5" s="64"/>
      <c r="J5" s="64"/>
      <c r="K5" s="64"/>
      <c r="L5" s="60"/>
    </row>
    <row r="6" ht="20.25" customHeight="1">
      <c r="A6" s="52"/>
      <c r="B6" s="45" t="s">
        <v>32</v>
      </c>
      <c r="C6" s="46"/>
      <c r="D6" s="47"/>
      <c r="E6" s="64"/>
      <c r="F6" s="17">
        <f>F3+55</f>
        <v>2023</v>
      </c>
      <c r="G6" s="64"/>
      <c r="H6" s="64"/>
      <c r="I6" s="64"/>
      <c r="J6" s="64"/>
      <c r="K6" s="64"/>
      <c r="L6" s="60"/>
    </row>
    <row r="7" ht="20.25" customHeight="1">
      <c r="A7" s="52"/>
      <c r="B7" s="45" t="s">
        <v>33</v>
      </c>
      <c r="C7" s="46"/>
      <c r="D7" s="47"/>
      <c r="E7" s="64"/>
      <c r="F7" s="17">
        <f>F3+67</f>
        <v>2035</v>
      </c>
      <c r="G7" s="64"/>
      <c r="H7" s="64"/>
      <c r="I7" s="64"/>
      <c r="J7" s="64"/>
      <c r="K7" s="64"/>
      <c r="L7" s="60"/>
    </row>
    <row r="8" ht="20.25" customHeight="1">
      <c r="A8" s="52"/>
      <c r="B8" s="68" t="s">
        <v>34</v>
      </c>
      <c r="C8" s="69"/>
      <c r="D8" s="70"/>
      <c r="E8" s="70"/>
      <c r="F8" s="64"/>
      <c r="G8" s="64"/>
      <c r="H8" s="64"/>
      <c r="I8" s="64"/>
      <c r="J8" s="64"/>
      <c r="K8" s="64"/>
      <c r="L8" s="60"/>
    </row>
    <row r="9" ht="20.25" customHeight="1">
      <c r="A9" s="52"/>
      <c r="B9" s="71" t="s">
        <v>35</v>
      </c>
      <c r="C9" s="72" t="s">
        <v>36</v>
      </c>
      <c r="D9" s="73">
        <f>'Person 1 Draw-down'!G32</f>
        <v>89085.25241</v>
      </c>
      <c r="E9" s="74" t="s">
        <v>37</v>
      </c>
      <c r="F9" s="75">
        <v>108669.67487335205</v>
      </c>
      <c r="G9" s="64"/>
      <c r="H9" s="64"/>
      <c r="I9" s="66"/>
      <c r="J9" s="64"/>
      <c r="K9" s="64"/>
      <c r="L9" s="60"/>
    </row>
    <row r="10" ht="20.25" customHeight="1">
      <c r="A10" s="76"/>
      <c r="B10" s="77" t="s">
        <v>38</v>
      </c>
      <c r="C10" s="78" t="s">
        <v>39</v>
      </c>
      <c r="D10" s="73">
        <f>'Person 1 Draw-down'!S27*$D$9</f>
        <v>71268.20193</v>
      </c>
      <c r="E10" s="74" t="s">
        <v>40</v>
      </c>
      <c r="F10" s="75">
        <f>'Person 1 Draw-down'!S24</f>
        <v>116918.905</v>
      </c>
      <c r="G10" s="64"/>
      <c r="H10" s="64"/>
      <c r="I10" s="79"/>
      <c r="J10" s="64"/>
      <c r="K10" s="64"/>
      <c r="L10" s="60"/>
    </row>
    <row r="11" ht="20.25" customHeight="1">
      <c r="A11" s="76"/>
      <c r="B11" s="77" t="s">
        <v>41</v>
      </c>
      <c r="C11" s="78" t="s">
        <v>39</v>
      </c>
      <c r="D11" s="73">
        <f>'Person 1 Draw-down'!AC27*$D$9</f>
        <v>53451.15145</v>
      </c>
      <c r="E11" s="74" t="s">
        <v>40</v>
      </c>
      <c r="F11" s="75">
        <f>'Person 1 Draw-down'!AC24</f>
        <v>112249.5624</v>
      </c>
      <c r="G11" s="64"/>
      <c r="H11" s="64"/>
      <c r="I11" s="79"/>
      <c r="J11" s="66"/>
      <c r="K11" s="64"/>
      <c r="L11" s="60"/>
    </row>
    <row r="12" ht="20.25" customHeight="1">
      <c r="A12" s="76"/>
      <c r="B12" s="77" t="s">
        <v>42</v>
      </c>
      <c r="C12" s="78" t="s">
        <v>39</v>
      </c>
      <c r="D12" s="73">
        <f>'Person 1 Draw-down'!AL27*$D$9</f>
        <v>53451.15145</v>
      </c>
      <c r="E12" s="74" t="s">
        <v>40</v>
      </c>
      <c r="F12" s="75">
        <f>'Person 1 Draw-down'!AL24</f>
        <v>140184.3219</v>
      </c>
      <c r="G12" s="64"/>
      <c r="H12" s="80"/>
      <c r="I12" s="81"/>
      <c r="J12" s="64"/>
      <c r="K12" s="64"/>
      <c r="L12" s="60"/>
    </row>
    <row r="13" ht="20.25" customHeight="1">
      <c r="A13" s="76"/>
      <c r="B13" s="71" t="s">
        <v>43</v>
      </c>
      <c r="C13" s="46"/>
      <c r="D13" s="47"/>
      <c r="E13" s="64"/>
      <c r="F13" s="82">
        <v>0.0</v>
      </c>
      <c r="G13" s="64"/>
      <c r="H13" s="64"/>
      <c r="I13" s="66"/>
      <c r="J13" s="64"/>
      <c r="K13" s="64"/>
      <c r="L13" s="60"/>
    </row>
    <row r="14" ht="20.25" customHeight="1">
      <c r="A14" s="76"/>
      <c r="B14" s="71" t="s">
        <v>44</v>
      </c>
      <c r="C14" s="46"/>
      <c r="D14" s="47"/>
      <c r="E14" s="64"/>
      <c r="F14" s="75">
        <f>'Person 1 Draw-down'!AL6</f>
        <v>0.3807638209</v>
      </c>
      <c r="G14" s="64"/>
      <c r="H14" s="66"/>
      <c r="I14" s="66"/>
      <c r="J14" s="64"/>
      <c r="K14" s="64"/>
      <c r="L14" s="60"/>
    </row>
    <row r="15" ht="20.25" customHeight="1">
      <c r="A15" s="76"/>
      <c r="B15" s="64"/>
      <c r="C15" s="64"/>
      <c r="D15" s="64"/>
      <c r="E15" s="64"/>
      <c r="F15" s="66"/>
      <c r="G15" s="64"/>
      <c r="H15" s="66"/>
      <c r="I15" s="64"/>
      <c r="J15" s="64"/>
      <c r="K15" s="64"/>
      <c r="L15" s="60"/>
    </row>
    <row r="16" ht="20.25" customHeight="1">
      <c r="A16" s="76"/>
      <c r="B16" s="45" t="s">
        <v>45</v>
      </c>
      <c r="C16" s="46"/>
      <c r="D16" s="47"/>
      <c r="E16" s="64"/>
      <c r="F16" s="83">
        <v>0.2</v>
      </c>
      <c r="G16" s="64"/>
      <c r="H16" s="66"/>
      <c r="I16" s="66"/>
      <c r="J16" s="66"/>
      <c r="K16" s="66"/>
      <c r="L16" s="60"/>
    </row>
    <row r="17" ht="20.25" customHeight="1">
      <c r="A17" s="76"/>
      <c r="B17" s="45" t="s">
        <v>46</v>
      </c>
      <c r="C17" s="46"/>
      <c r="D17" s="47"/>
      <c r="E17" s="64"/>
      <c r="F17" s="84">
        <v>0.4</v>
      </c>
      <c r="G17" s="64"/>
      <c r="H17" s="66"/>
      <c r="I17" s="66"/>
      <c r="J17" s="66"/>
      <c r="K17" s="66"/>
      <c r="L17" s="60"/>
    </row>
    <row r="18" ht="20.25" customHeight="1">
      <c r="A18" s="76"/>
      <c r="B18" s="85" t="s">
        <v>47</v>
      </c>
      <c r="C18" s="46"/>
      <c r="D18" s="47"/>
      <c r="E18" s="64"/>
      <c r="F18" s="86">
        <v>0.025</v>
      </c>
      <c r="G18" s="64"/>
      <c r="H18" s="66"/>
      <c r="I18" s="66"/>
      <c r="J18" s="66"/>
      <c r="K18" s="66"/>
      <c r="L18" s="60"/>
    </row>
    <row r="19" ht="20.25" customHeight="1">
      <c r="A19" s="76"/>
      <c r="B19" s="45" t="s">
        <v>48</v>
      </c>
      <c r="C19" s="46"/>
      <c r="D19" s="47"/>
      <c r="E19" s="64"/>
      <c r="F19" s="87">
        <v>0.04</v>
      </c>
      <c r="G19" s="64"/>
      <c r="H19" s="64"/>
      <c r="I19" s="64"/>
      <c r="J19" s="64"/>
      <c r="K19" s="64"/>
      <c r="L19" s="60"/>
    </row>
    <row r="20" ht="26.25" customHeight="1">
      <c r="A20" s="52"/>
      <c r="B20" s="45" t="s">
        <v>49</v>
      </c>
      <c r="C20" s="46"/>
      <c r="D20" s="47"/>
      <c r="E20" s="64"/>
      <c r="F20" s="88" t="s">
        <v>50</v>
      </c>
      <c r="G20" s="64"/>
      <c r="H20" s="64"/>
      <c r="I20" s="64"/>
      <c r="J20" s="64"/>
      <c r="K20" s="64"/>
      <c r="L20" s="52"/>
    </row>
    <row r="21" ht="28.5" customHeight="1">
      <c r="A21" s="89"/>
      <c r="B21" s="90"/>
      <c r="C21" s="90"/>
      <c r="D21" s="90"/>
      <c r="E21" s="90"/>
      <c r="F21" s="60"/>
      <c r="G21" s="52"/>
      <c r="H21" s="52"/>
      <c r="I21" s="52"/>
      <c r="J21" s="52"/>
      <c r="K21" s="52"/>
      <c r="L21" s="52"/>
    </row>
    <row r="22" ht="28.5" customHeight="1">
      <c r="A22" s="52"/>
      <c r="B22" s="52"/>
      <c r="C22" s="52"/>
      <c r="D22" s="52"/>
      <c r="E22" s="52"/>
      <c r="F22" s="52"/>
      <c r="G22" s="52"/>
      <c r="H22" s="52"/>
      <c r="I22" s="52"/>
      <c r="J22" s="52"/>
      <c r="K22" s="52"/>
      <c r="L22" s="52"/>
    </row>
  </sheetData>
  <mergeCells count="15">
    <mergeCell ref="B7:D7"/>
    <mergeCell ref="B13:D13"/>
    <mergeCell ref="B14:D14"/>
    <mergeCell ref="B16:D16"/>
    <mergeCell ref="B17:D17"/>
    <mergeCell ref="B18:D18"/>
    <mergeCell ref="B19:D19"/>
    <mergeCell ref="B20:D20"/>
    <mergeCell ref="B1:L1"/>
    <mergeCell ref="D2:F2"/>
    <mergeCell ref="H2:K2"/>
    <mergeCell ref="B3:D3"/>
    <mergeCell ref="B4:D4"/>
    <mergeCell ref="B5:D5"/>
    <mergeCell ref="B6:D6"/>
  </mergeCells>
  <dataValidations>
    <dataValidation type="list" allowBlank="1" showErrorMessage="1" sqref="F20">
      <formula1>"Smooth,Saw Tooth"</formula1>
    </dataValidation>
    <dataValidation type="custom" allowBlank="1" showDropDown="1" showInputMessage="1" showErrorMessage="1" prompt="Enter a Year of Birth that allows for a Start-Draw-down year that's 55 years ahead of Year of Birth" sqref="F3">
      <formula1>OR(ISBLANK(F4), F4&gt;=$F$3+55)</formula1>
    </dataValidation>
    <dataValidation type="custom" allowBlank="1" showDropDown="1" showInputMessage="1" showErrorMessage="1" prompt="Maximum Draw-down end is 99 years after Year of Birth. It must also be later than draw-down start" sqref="F5">
      <formula1>AND(F5&gt;=F4, F5-F3&lt;=99)</formula1>
    </dataValidation>
    <dataValidation type="custom" allowBlank="1" showDropDown="1" showInputMessage="1" showErrorMessage="1" prompt="Draw-down must start at least 55 years after Year of Birth" sqref="F4">
      <formula1>OR(ISBLANK(F4), F4&gt;=$F$3+55)</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75"/>
  <cols>
    <col customWidth="1" min="1" max="1" width="27.88"/>
    <col customWidth="1" min="2" max="2" width="2.0"/>
    <col customWidth="1" min="3" max="3" width="2.5"/>
    <col customWidth="1" min="7" max="7" width="14.5"/>
  </cols>
  <sheetData>
    <row r="1">
      <c r="A1" s="91" t="s">
        <v>51</v>
      </c>
      <c r="B1" s="92"/>
      <c r="C1" s="92"/>
      <c r="D1" s="92"/>
      <c r="E1" s="93"/>
      <c r="F1" s="94"/>
      <c r="G1" s="95"/>
      <c r="H1" s="92"/>
      <c r="I1" s="92"/>
      <c r="J1" s="96"/>
      <c r="K1" s="92"/>
      <c r="L1" s="92"/>
      <c r="M1" s="92"/>
      <c r="N1" s="92"/>
      <c r="O1" s="92"/>
      <c r="P1" s="92"/>
      <c r="Q1" s="92"/>
      <c r="R1" s="92"/>
      <c r="S1" s="92"/>
      <c r="T1" s="92"/>
      <c r="U1" s="92"/>
      <c r="V1" s="92"/>
      <c r="W1" s="92"/>
      <c r="X1" s="92"/>
      <c r="Y1" s="92"/>
      <c r="Z1" s="92"/>
      <c r="AA1" s="92"/>
      <c r="AB1" s="92"/>
      <c r="AC1" s="92"/>
      <c r="AD1" s="92"/>
      <c r="AE1" s="92"/>
      <c r="AF1" s="92"/>
      <c r="AG1" s="92"/>
      <c r="AH1" s="92"/>
      <c r="AI1" s="92"/>
      <c r="AJ1" s="92"/>
      <c r="AK1" s="92"/>
      <c r="AL1" s="92"/>
      <c r="AM1" s="92"/>
      <c r="AN1" s="92"/>
      <c r="AO1" s="92"/>
      <c r="AP1" s="92"/>
      <c r="AQ1" s="92"/>
      <c r="AR1" s="92"/>
      <c r="AS1" s="92"/>
      <c r="AT1" s="92"/>
      <c r="AU1" s="92"/>
      <c r="AV1" s="92"/>
      <c r="AW1" s="92"/>
    </row>
    <row r="2" ht="31.5" customHeight="1">
      <c r="A2" s="97"/>
      <c r="B2" s="92"/>
      <c r="C2" s="92"/>
      <c r="D2" s="92"/>
      <c r="E2" s="98"/>
      <c r="F2" s="99"/>
      <c r="G2" s="97"/>
      <c r="H2" s="92"/>
      <c r="I2" s="92"/>
      <c r="J2" s="92"/>
      <c r="K2" s="92"/>
      <c r="L2" s="92"/>
      <c r="M2" s="92"/>
      <c r="N2" s="92"/>
      <c r="O2" s="92"/>
      <c r="P2" s="92"/>
      <c r="Q2" s="92"/>
      <c r="R2" s="92"/>
      <c r="S2" s="92"/>
      <c r="T2" s="92"/>
      <c r="U2" s="92"/>
      <c r="V2" s="92"/>
      <c r="W2" s="92"/>
      <c r="X2" s="92"/>
      <c r="Y2" s="92"/>
      <c r="Z2" s="92"/>
      <c r="AA2" s="92"/>
      <c r="AB2" s="92"/>
      <c r="AC2" s="92"/>
      <c r="AD2" s="92"/>
      <c r="AE2" s="92"/>
      <c r="AF2" s="92"/>
      <c r="AG2" s="92"/>
      <c r="AH2" s="92"/>
      <c r="AI2" s="92"/>
      <c r="AJ2" s="92"/>
      <c r="AK2" s="92"/>
      <c r="AL2" s="92"/>
      <c r="AM2" s="92"/>
      <c r="AN2" s="92"/>
      <c r="AO2" s="92"/>
      <c r="AP2" s="92"/>
      <c r="AQ2" s="92"/>
      <c r="AR2" s="92"/>
      <c r="AS2" s="92"/>
      <c r="AT2" s="92"/>
      <c r="AU2" s="92"/>
      <c r="AV2" s="92"/>
      <c r="AW2" s="92"/>
    </row>
    <row r="3">
      <c r="A3" s="100" t="s">
        <v>52</v>
      </c>
      <c r="B3" s="101"/>
      <c r="C3" s="101"/>
      <c r="D3" s="101">
        <v>55.0</v>
      </c>
      <c r="E3" s="101">
        <v>56.0</v>
      </c>
      <c r="F3" s="101">
        <v>57.0</v>
      </c>
      <c r="G3" s="101">
        <v>58.0</v>
      </c>
      <c r="H3" s="101">
        <v>59.0</v>
      </c>
      <c r="I3" s="101">
        <v>60.0</v>
      </c>
      <c r="J3" s="101">
        <v>61.0</v>
      </c>
      <c r="K3" s="101">
        <v>62.0</v>
      </c>
      <c r="L3" s="101">
        <v>63.0</v>
      </c>
      <c r="M3" s="101">
        <v>64.0</v>
      </c>
      <c r="N3" s="101">
        <v>65.0</v>
      </c>
      <c r="O3" s="101">
        <v>66.0</v>
      </c>
      <c r="P3" s="101">
        <v>67.0</v>
      </c>
      <c r="Q3" s="101">
        <v>68.0</v>
      </c>
      <c r="R3" s="101">
        <v>69.0</v>
      </c>
      <c r="S3" s="101">
        <v>70.0</v>
      </c>
      <c r="T3" s="101">
        <v>71.0</v>
      </c>
      <c r="U3" s="101">
        <v>72.0</v>
      </c>
      <c r="V3" s="101">
        <v>73.0</v>
      </c>
      <c r="W3" s="101">
        <v>74.0</v>
      </c>
      <c r="X3" s="101">
        <v>75.0</v>
      </c>
      <c r="Y3" s="101">
        <v>76.0</v>
      </c>
      <c r="Z3" s="101">
        <v>77.0</v>
      </c>
      <c r="AA3" s="101">
        <v>78.0</v>
      </c>
      <c r="AB3" s="101">
        <v>79.0</v>
      </c>
      <c r="AC3" s="101">
        <v>80.0</v>
      </c>
      <c r="AD3" s="101">
        <v>81.0</v>
      </c>
      <c r="AE3" s="101">
        <v>82.0</v>
      </c>
      <c r="AF3" s="101">
        <v>83.0</v>
      </c>
      <c r="AG3" s="101">
        <v>84.0</v>
      </c>
      <c r="AH3" s="101">
        <v>85.0</v>
      </c>
      <c r="AI3" s="101">
        <v>86.0</v>
      </c>
      <c r="AJ3" s="101">
        <v>87.0</v>
      </c>
      <c r="AK3" s="101">
        <v>88.0</v>
      </c>
      <c r="AL3" s="101">
        <v>89.0</v>
      </c>
      <c r="AM3" s="101">
        <v>90.0</v>
      </c>
      <c r="AN3" s="102">
        <v>91.0</v>
      </c>
      <c r="AO3" s="102">
        <v>92.0</v>
      </c>
      <c r="AP3" s="102">
        <v>93.0</v>
      </c>
      <c r="AQ3" s="102">
        <v>94.0</v>
      </c>
      <c r="AR3" s="102">
        <v>95.0</v>
      </c>
      <c r="AS3" s="102">
        <v>96.0</v>
      </c>
      <c r="AT3" s="102">
        <v>97.0</v>
      </c>
      <c r="AU3" s="102">
        <v>98.0</v>
      </c>
      <c r="AV3" s="102">
        <v>99.0</v>
      </c>
      <c r="AW3" s="103"/>
    </row>
    <row r="4">
      <c r="A4" s="101" t="s">
        <v>9</v>
      </c>
      <c r="B4" s="104"/>
      <c r="C4" s="105"/>
      <c r="D4" s="101">
        <f>'Person 1 Calculator'!$F$6</f>
        <v>2023</v>
      </c>
      <c r="E4" s="101">
        <f t="shared" ref="E4:AV4" si="1">D4+1</f>
        <v>2024</v>
      </c>
      <c r="F4" s="101">
        <f t="shared" si="1"/>
        <v>2025</v>
      </c>
      <c r="G4" s="101">
        <f t="shared" si="1"/>
        <v>2026</v>
      </c>
      <c r="H4" s="101">
        <f t="shared" si="1"/>
        <v>2027</v>
      </c>
      <c r="I4" s="101">
        <f t="shared" si="1"/>
        <v>2028</v>
      </c>
      <c r="J4" s="101">
        <f t="shared" si="1"/>
        <v>2029</v>
      </c>
      <c r="K4" s="101">
        <f t="shared" si="1"/>
        <v>2030</v>
      </c>
      <c r="L4" s="101">
        <f t="shared" si="1"/>
        <v>2031</v>
      </c>
      <c r="M4" s="101">
        <f t="shared" si="1"/>
        <v>2032</v>
      </c>
      <c r="N4" s="101">
        <f t="shared" si="1"/>
        <v>2033</v>
      </c>
      <c r="O4" s="101">
        <f t="shared" si="1"/>
        <v>2034</v>
      </c>
      <c r="P4" s="101">
        <f t="shared" si="1"/>
        <v>2035</v>
      </c>
      <c r="Q4" s="101">
        <f t="shared" si="1"/>
        <v>2036</v>
      </c>
      <c r="R4" s="101">
        <f t="shared" si="1"/>
        <v>2037</v>
      </c>
      <c r="S4" s="101">
        <f t="shared" si="1"/>
        <v>2038</v>
      </c>
      <c r="T4" s="101">
        <f t="shared" si="1"/>
        <v>2039</v>
      </c>
      <c r="U4" s="101">
        <f t="shared" si="1"/>
        <v>2040</v>
      </c>
      <c r="V4" s="101">
        <f t="shared" si="1"/>
        <v>2041</v>
      </c>
      <c r="W4" s="101">
        <f t="shared" si="1"/>
        <v>2042</v>
      </c>
      <c r="X4" s="101">
        <f t="shared" si="1"/>
        <v>2043</v>
      </c>
      <c r="Y4" s="101">
        <f t="shared" si="1"/>
        <v>2044</v>
      </c>
      <c r="Z4" s="101">
        <f t="shared" si="1"/>
        <v>2045</v>
      </c>
      <c r="AA4" s="101">
        <f t="shared" si="1"/>
        <v>2046</v>
      </c>
      <c r="AB4" s="101">
        <f t="shared" si="1"/>
        <v>2047</v>
      </c>
      <c r="AC4" s="101">
        <f t="shared" si="1"/>
        <v>2048</v>
      </c>
      <c r="AD4" s="101">
        <f t="shared" si="1"/>
        <v>2049</v>
      </c>
      <c r="AE4" s="101">
        <f t="shared" si="1"/>
        <v>2050</v>
      </c>
      <c r="AF4" s="101">
        <f t="shared" si="1"/>
        <v>2051</v>
      </c>
      <c r="AG4" s="101">
        <f t="shared" si="1"/>
        <v>2052</v>
      </c>
      <c r="AH4" s="101">
        <f t="shared" si="1"/>
        <v>2053</v>
      </c>
      <c r="AI4" s="101">
        <f t="shared" si="1"/>
        <v>2054</v>
      </c>
      <c r="AJ4" s="101">
        <f t="shared" si="1"/>
        <v>2055</v>
      </c>
      <c r="AK4" s="101">
        <f t="shared" si="1"/>
        <v>2056</v>
      </c>
      <c r="AL4" s="101">
        <f t="shared" si="1"/>
        <v>2057</v>
      </c>
      <c r="AM4" s="101">
        <f t="shared" si="1"/>
        <v>2058</v>
      </c>
      <c r="AN4" s="101">
        <f t="shared" si="1"/>
        <v>2059</v>
      </c>
      <c r="AO4" s="101">
        <f t="shared" si="1"/>
        <v>2060</v>
      </c>
      <c r="AP4" s="101">
        <f t="shared" si="1"/>
        <v>2061</v>
      </c>
      <c r="AQ4" s="101">
        <f t="shared" si="1"/>
        <v>2062</v>
      </c>
      <c r="AR4" s="101">
        <f t="shared" si="1"/>
        <v>2063</v>
      </c>
      <c r="AS4" s="101">
        <f t="shared" si="1"/>
        <v>2064</v>
      </c>
      <c r="AT4" s="101">
        <f t="shared" si="1"/>
        <v>2065</v>
      </c>
      <c r="AU4" s="101">
        <f t="shared" si="1"/>
        <v>2066</v>
      </c>
      <c r="AV4" s="101">
        <f t="shared" si="1"/>
        <v>2067</v>
      </c>
      <c r="AW4" s="103"/>
    </row>
    <row r="5">
      <c r="A5" s="106" t="s">
        <v>53</v>
      </c>
      <c r="B5" s="107"/>
      <c r="C5" s="107"/>
      <c r="D5" s="107">
        <f>LET(
  TargetYear, D4,
  StartDate, 'Person 1 Calculator'!$F$4,
  EndDate, 'Person 1 Calculator'!$F$5,
  IFS(
    TargetYear &lt; StartDate, 0,                                       
    TargetYear = StartDate, 1,
    AND(TargetYear &gt; StartDate, TargetYear &lt; EndDate), 2,            
    TargetYear &gt;= EndDate, 3                                        
  )
)</f>
        <v>0</v>
      </c>
      <c r="E5" s="107">
        <f>LET(
  TargetYear, E4,
  StartDate, 'Person 1 Calculator'!$F$4,
  EndDate, 'Person 1 Calculator'!$F$5,
  IFS(
    TargetYear &lt; StartDate, 0,                                       
    TargetYear = StartDate, 1,
    AND(TargetYear &gt; StartDate, TargetYear &lt; EndDate), 2,            
    TargetYear &gt;= EndDate, 3                                        
  )
)</f>
        <v>0</v>
      </c>
      <c r="F5" s="107">
        <f>LET(
  TargetYear, F4,
  StartDate, 'Person 1 Calculator'!$F$4,
  EndDate, 'Person 1 Calculator'!$F$5,
  IFS(
    TargetYear &lt; StartDate, 0,                                       
    TargetYear = StartDate, 1,
    AND(TargetYear &gt; StartDate, TargetYear &lt; EndDate), 2,            
    TargetYear &gt;= EndDate, 3                                        
  )
)</f>
        <v>0</v>
      </c>
      <c r="G5" s="107">
        <f>LET(
  TargetYear, G4,
  StartDate, 'Person 1 Calculator'!$F$4,
  EndDate, 'Person 1 Calculator'!$F$5,
  IFS(
    TargetYear &lt; StartDate, 0,                                       
    TargetYear = StartDate, 1,
    AND(TargetYear &gt; StartDate, TargetYear &lt; EndDate), 2,            
    TargetYear &gt;= EndDate, 3                                        
  )
)</f>
        <v>1</v>
      </c>
      <c r="H5" s="107">
        <f>LET(
  TargetYear, H4,
  StartDate, 'Person 1 Calculator'!$F$4,
  EndDate, 'Person 1 Calculator'!$F$5,
  IFS(
    TargetYear &lt; StartDate, 0,                                       
    TargetYear = StartDate, 1,
    AND(TargetYear &gt; StartDate, TargetYear &lt; EndDate), 2,            
    TargetYear &gt;= EndDate, 3                                        
  )
)</f>
        <v>2</v>
      </c>
      <c r="I5" s="107">
        <f>LET(
  TargetYear, I4,
  StartDate, 'Person 1 Calculator'!$F$4,
  EndDate, 'Person 1 Calculator'!$F$5,
  IFS(
    TargetYear &lt; StartDate, 0,                                       
    TargetYear = StartDate, 1,
    AND(TargetYear &gt; StartDate, TargetYear &lt; EndDate), 2,            
    TargetYear &gt;= EndDate, 3                                        
  )
)</f>
        <v>2</v>
      </c>
      <c r="J5" s="107">
        <f>LET(
  TargetYear, J4,
  StartDate, 'Person 1 Calculator'!$F$4,
  EndDate, 'Person 1 Calculator'!$F$5,
  IFS(
    TargetYear &lt; StartDate, 0,                                       
    TargetYear = StartDate, 1,
    AND(TargetYear &gt; StartDate, TargetYear &lt; EndDate), 2,            
    TargetYear &gt;= EndDate, 3                                        
  )
)</f>
        <v>2</v>
      </c>
      <c r="K5" s="107">
        <f>LET(
  TargetYear, K4,
  StartDate, 'Person 1 Calculator'!$F$4,
  EndDate, 'Person 1 Calculator'!$F$5,
  IFS(
    TargetYear &lt; StartDate, 0,                                       
    TargetYear = StartDate, 1,
    AND(TargetYear &gt; StartDate, TargetYear &lt; EndDate), 2,            
    TargetYear &gt;= EndDate, 3                                        
  )
)</f>
        <v>2</v>
      </c>
      <c r="L5" s="107">
        <f>LET(
  TargetYear, L4,
  StartDate, 'Person 1 Calculator'!$F$4,
  EndDate, 'Person 1 Calculator'!$F$5,
  IFS(
    TargetYear &lt; StartDate, 0,                                       
    TargetYear = StartDate, 1,
    AND(TargetYear &gt; StartDate, TargetYear &lt; EndDate), 2,            
    TargetYear &gt;= EndDate, 3                                        
  )
)</f>
        <v>2</v>
      </c>
      <c r="M5" s="107">
        <f>LET(
  TargetYear, M4,
  StartDate, 'Person 1 Calculator'!$F$4,
  EndDate, 'Person 1 Calculator'!$F$5,
  IFS(
    TargetYear &lt; StartDate, 0,                                       
    TargetYear = StartDate, 1,
    AND(TargetYear &gt; StartDate, TargetYear &lt; EndDate), 2,            
    TargetYear &gt;= EndDate, 3                                        
  )
)</f>
        <v>2</v>
      </c>
      <c r="N5" s="107">
        <f>LET(
  TargetYear, N4,
  StartDate, 'Person 1 Calculator'!$F$4,
  EndDate, 'Person 1 Calculator'!$F$5,
  IFS(
    TargetYear &lt; StartDate, 0,                                       
    TargetYear = StartDate, 1,
    AND(TargetYear &gt; StartDate, TargetYear &lt; EndDate), 2,            
    TargetYear &gt;= EndDate, 3                                        
  )
)</f>
        <v>2</v>
      </c>
      <c r="O5" s="107">
        <f>LET(
  TargetYear, O4,
  StartDate, 'Person 1 Calculator'!$F$4,
  EndDate, 'Person 1 Calculator'!$F$5,
  IFS(
    TargetYear &lt; StartDate, 0,                                       
    TargetYear = StartDate, 1,
    AND(TargetYear &gt; StartDate, TargetYear &lt; EndDate), 2,            
    TargetYear &gt;= EndDate, 3                                        
  )
)</f>
        <v>2</v>
      </c>
      <c r="P5" s="107">
        <f>LET(
  TargetYear, P4,
  StartDate, 'Person 1 Calculator'!$F$4,
  EndDate, 'Person 1 Calculator'!$F$5,
  IFS(
    TargetYear &lt; StartDate, 0,                                       
    TargetYear = StartDate, 1,
    AND(TargetYear &gt; StartDate, TargetYear &lt; EndDate), 2,            
    TargetYear &gt;= EndDate, 3                                        
  )
)</f>
        <v>2</v>
      </c>
      <c r="Q5" s="107">
        <f>LET(
  TargetYear, Q4,
  StartDate, 'Person 1 Calculator'!$F$4,
  EndDate, 'Person 1 Calculator'!$F$5,
  IFS(
    TargetYear &lt; StartDate, 0,                                       
    TargetYear = StartDate, 1,
    AND(TargetYear &gt; StartDate, TargetYear &lt; EndDate), 2,            
    TargetYear &gt;= EndDate, 3                                        
  )
)</f>
        <v>2</v>
      </c>
      <c r="R5" s="107">
        <f>LET(
  TargetYear, R4,
  StartDate, 'Person 1 Calculator'!$F$4,
  EndDate, 'Person 1 Calculator'!$F$5,
  IFS(
    TargetYear &lt; StartDate, 0,                                       
    TargetYear = StartDate, 1,
    AND(TargetYear &gt; StartDate, TargetYear &lt; EndDate), 2,            
    TargetYear &gt;= EndDate, 3                                        
  )
)</f>
        <v>2</v>
      </c>
      <c r="S5" s="107">
        <f>LET(
  TargetYear, S4,
  StartDate, 'Person 1 Calculator'!$F$4,
  EndDate, 'Person 1 Calculator'!$F$5,
  IFS(
    TargetYear &lt; StartDate, 0,                                       
    TargetYear = StartDate, 1,
    AND(TargetYear &gt; StartDate, TargetYear &lt; EndDate), 2,            
    TargetYear &gt;= EndDate, 3                                        
  )
)</f>
        <v>2</v>
      </c>
      <c r="T5" s="107">
        <f>LET(
  TargetYear, T4,
  StartDate, 'Person 1 Calculator'!$F$4,
  EndDate, 'Person 1 Calculator'!$F$5,
  IFS(
    TargetYear &lt; StartDate, 0,                                       
    TargetYear = StartDate, 1,
    AND(TargetYear &gt; StartDate, TargetYear &lt; EndDate), 2,            
    TargetYear &gt;= EndDate, 3                                        
  )
)</f>
        <v>2</v>
      </c>
      <c r="U5" s="107">
        <f>LET(
  TargetYear, U4,
  StartDate, 'Person 1 Calculator'!$F$4,
  EndDate, 'Person 1 Calculator'!$F$5,
  IFS(
    TargetYear &lt; StartDate, 0,                                       
    TargetYear = StartDate, 1,
    AND(TargetYear &gt; StartDate, TargetYear &lt; EndDate), 2,            
    TargetYear &gt;= EndDate, 3                                        
  )
)</f>
        <v>2</v>
      </c>
      <c r="V5" s="107">
        <f>LET(
  TargetYear, V4,
  StartDate, 'Person 1 Calculator'!$F$4,
  EndDate, 'Person 1 Calculator'!$F$5,
  IFS(
    TargetYear &lt; StartDate, 0,                                       
    TargetYear = StartDate, 1,
    AND(TargetYear &gt; StartDate, TargetYear &lt; EndDate), 2,            
    TargetYear &gt;= EndDate, 3                                        
  )
)</f>
        <v>2</v>
      </c>
      <c r="W5" s="107">
        <f>LET(
  TargetYear, W4,
  StartDate, 'Person 1 Calculator'!$F$4,
  EndDate, 'Person 1 Calculator'!$F$5,
  IFS(
    TargetYear &lt; StartDate, 0,                                       
    TargetYear = StartDate, 1,
    AND(TargetYear &gt; StartDate, TargetYear &lt; EndDate), 2,            
    TargetYear &gt;= EndDate, 3                                        
  )
)</f>
        <v>2</v>
      </c>
      <c r="X5" s="107">
        <f>LET(
  TargetYear, X4,
  StartDate, 'Person 1 Calculator'!$F$4,
  EndDate, 'Person 1 Calculator'!$F$5,
  IFS(
    TargetYear &lt; StartDate, 0,                                       
    TargetYear = StartDate, 1,
    AND(TargetYear &gt; StartDate, TargetYear &lt; EndDate), 2,            
    TargetYear &gt;= EndDate, 3                                        
  )
)</f>
        <v>2</v>
      </c>
      <c r="Y5" s="107">
        <f>LET(
  TargetYear, Y4,
  StartDate, 'Person 1 Calculator'!$F$4,
  EndDate, 'Person 1 Calculator'!$F$5,
  IFS(
    TargetYear &lt; StartDate, 0,                                       
    TargetYear = StartDate, 1,
    AND(TargetYear &gt; StartDate, TargetYear &lt; EndDate), 2,            
    TargetYear &gt;= EndDate, 3                                        
  )
)</f>
        <v>2</v>
      </c>
      <c r="Z5" s="107">
        <f>LET(
  TargetYear, Z4,
  StartDate, 'Person 1 Calculator'!$F$4,
  EndDate, 'Person 1 Calculator'!$F$5,
  IFS(
    TargetYear &lt; StartDate, 0,                                       
    TargetYear = StartDate, 1,
    AND(TargetYear &gt; StartDate, TargetYear &lt; EndDate), 2,            
    TargetYear &gt;= EndDate, 3                                        
  )
)</f>
        <v>2</v>
      </c>
      <c r="AA5" s="107">
        <f>LET(
  TargetYear, AA4,
  StartDate, 'Person 1 Calculator'!$F$4,
  EndDate, 'Person 1 Calculator'!$F$5,
  IFS(
    TargetYear &lt; StartDate, 0,                                       
    TargetYear = StartDate, 1,
    AND(TargetYear &gt; StartDate, TargetYear &lt; EndDate), 2,            
    TargetYear &gt;= EndDate, 3                                        
  )
)</f>
        <v>2</v>
      </c>
      <c r="AB5" s="107">
        <f>LET(
  TargetYear, AB4,
  StartDate, 'Person 1 Calculator'!$F$4,
  EndDate, 'Person 1 Calculator'!$F$5,
  IFS(
    TargetYear &lt; StartDate, 0,                                       
    TargetYear = StartDate, 1,
    AND(TargetYear &gt; StartDate, TargetYear &lt; EndDate), 2,            
    TargetYear &gt;= EndDate, 3                                        
  )
)</f>
        <v>2</v>
      </c>
      <c r="AC5" s="107">
        <f>LET(
  TargetYear, AC4,
  StartDate, 'Person 1 Calculator'!$F$4,
  EndDate, 'Person 1 Calculator'!$F$5,
  IFS(
    TargetYear &lt; StartDate, 0,                                       
    TargetYear = StartDate, 1,
    AND(TargetYear &gt; StartDate, TargetYear &lt; EndDate), 2,            
    TargetYear &gt;= EndDate, 3                                        
  )
)</f>
        <v>2</v>
      </c>
      <c r="AD5" s="107">
        <f>LET(
  TargetYear, AD4,
  StartDate, 'Person 1 Calculator'!$F$4,
  EndDate, 'Person 1 Calculator'!$F$5,
  IFS(
    TargetYear &lt; StartDate, 0,                                       
    TargetYear = StartDate, 1,
    AND(TargetYear &gt; StartDate, TargetYear &lt; EndDate), 2,            
    TargetYear &gt;= EndDate, 3                                        
  )
)</f>
        <v>2</v>
      </c>
      <c r="AE5" s="107">
        <f>LET(
  TargetYear, AE4,
  StartDate, 'Person 1 Calculator'!$F$4,
  EndDate, 'Person 1 Calculator'!$F$5,
  IFS(
    TargetYear &lt; StartDate, 0,                                       
    TargetYear = StartDate, 1,
    AND(TargetYear &gt; StartDate, TargetYear &lt; EndDate), 2,            
    TargetYear &gt;= EndDate, 3                                        
  )
)</f>
        <v>2</v>
      </c>
      <c r="AF5" s="107">
        <f>LET(
  TargetYear, AF4,
  StartDate, 'Person 1 Calculator'!$F$4,
  EndDate, 'Person 1 Calculator'!$F$5,
  IFS(
    TargetYear &lt; StartDate, 0,                                       
    TargetYear = StartDate, 1,
    AND(TargetYear &gt; StartDate, TargetYear &lt; EndDate), 2,            
    TargetYear &gt;= EndDate, 3                                        
  )
)</f>
        <v>2</v>
      </c>
      <c r="AG5" s="107">
        <f>LET(
  TargetYear, AG4,
  StartDate, 'Person 1 Calculator'!$F$4,
  EndDate, 'Person 1 Calculator'!$F$5,
  IFS(
    TargetYear &lt; StartDate, 0,                                       
    TargetYear = StartDate, 1,
    AND(TargetYear &gt; StartDate, TargetYear &lt; EndDate), 2,            
    TargetYear &gt;= EndDate, 3                                        
  )
)</f>
        <v>2</v>
      </c>
      <c r="AH5" s="107">
        <f>LET(
  TargetYear, AH4,
  StartDate, 'Person 1 Calculator'!$F$4,
  EndDate, 'Person 1 Calculator'!$F$5,
  IFS(
    TargetYear &lt; StartDate, 0,                                       
    TargetYear = StartDate, 1,
    AND(TargetYear &gt; StartDate, TargetYear &lt; EndDate), 2,            
    TargetYear &gt;= EndDate, 3                                        
  )
)</f>
        <v>2</v>
      </c>
      <c r="AI5" s="107">
        <f>LET(
  TargetYear, AI4,
  StartDate, 'Person 1 Calculator'!$F$4,
  EndDate, 'Person 1 Calculator'!$F$5,
  IFS(
    TargetYear &lt; StartDate, 0,                                       
    TargetYear = StartDate, 1,
    AND(TargetYear &gt; StartDate, TargetYear &lt; EndDate), 2,            
    TargetYear &gt;= EndDate, 3                                        
  )
)</f>
        <v>2</v>
      </c>
      <c r="AJ5" s="107">
        <f>LET(
  TargetYear, AJ4,
  StartDate, 'Person 1 Calculator'!$F$4,
  EndDate, 'Person 1 Calculator'!$F$5,
  IFS(
    TargetYear &lt; StartDate, 0,                                       
    TargetYear = StartDate, 1,
    AND(TargetYear &gt; StartDate, TargetYear &lt; EndDate), 2,            
    TargetYear &gt;= EndDate, 3                                        
  )
)</f>
        <v>2</v>
      </c>
      <c r="AK5" s="107">
        <f>LET(
  TargetYear, AK4,
  StartDate, 'Person 1 Calculator'!$F$4,
  EndDate, 'Person 1 Calculator'!$F$5,
  IFS(
    TargetYear &lt; StartDate, 0,                                       
    TargetYear = StartDate, 1,
    AND(TargetYear &gt; StartDate, TargetYear &lt; EndDate), 2,            
    TargetYear &gt;= EndDate, 3                                        
  )
)</f>
        <v>2</v>
      </c>
      <c r="AL5" s="107">
        <f>LET(
  TargetYear, AL4,
  StartDate, 'Person 1 Calculator'!$F$4,
  EndDate, 'Person 1 Calculator'!$F$5,
  IFS(
    TargetYear &lt; StartDate, 0,                                       
    TargetYear = StartDate, 1,
    AND(TargetYear &gt; StartDate, TargetYear &lt; EndDate), 2,            
    TargetYear &gt;= EndDate, 3                                        
  )
)</f>
        <v>2</v>
      </c>
      <c r="AM5" s="107">
        <f>LET(
  TargetYear, AM4,
  StartDate, 'Person 1 Calculator'!$F$4,
  EndDate, 'Person 1 Calculator'!$F$5,
  IFS(
    TargetYear &lt; StartDate, 0,                                       
    TargetYear = StartDate, 1,
    AND(TargetYear &gt; StartDate, TargetYear &lt; EndDate), 2,            
    TargetYear &gt;= EndDate, 3                                        
  )
)</f>
        <v>3</v>
      </c>
      <c r="AN5" s="107">
        <f>LET(
  TargetYear, AN4,
  StartDate, 'Person 1 Calculator'!$F$4,
  EndDate, 'Person 1 Calculator'!$F$5,
  IFS(
    TargetYear &lt; StartDate, 0,                                       
    TargetYear = StartDate, 1,
    AND(TargetYear &gt; StartDate, TargetYear &lt; EndDate), 2,            
    TargetYear &gt;= EndDate, 3                                        
  )
)</f>
        <v>3</v>
      </c>
      <c r="AO5" s="107">
        <f>LET(
  TargetYear, AO4,
  StartDate, 'Person 1 Calculator'!$F$4,
  EndDate, 'Person 1 Calculator'!$F$5,
  IFS(
    TargetYear &lt; StartDate, 0,                                       
    TargetYear = StartDate, 1,
    AND(TargetYear &gt; StartDate, TargetYear &lt; EndDate), 2,            
    TargetYear &gt;= EndDate, 3                                        
  )
)</f>
        <v>3</v>
      </c>
      <c r="AP5" s="107">
        <f>LET(
  TargetYear, AP4,
  StartDate, 'Person 1 Calculator'!$F$4,
  EndDate, 'Person 1 Calculator'!$F$5,
  IFS(
    TargetYear &lt; StartDate, 0,                                       
    TargetYear = StartDate, 1,
    AND(TargetYear &gt; StartDate, TargetYear &lt; EndDate), 2,            
    TargetYear &gt;= EndDate, 3                                        
  )
)</f>
        <v>3</v>
      </c>
      <c r="AQ5" s="107">
        <f>LET(
  TargetYear, AQ4,
  StartDate, 'Person 1 Calculator'!$F$4,
  EndDate, 'Person 1 Calculator'!$F$5,
  IFS(
    TargetYear &lt; StartDate, 0,                                       
    TargetYear = StartDate, 1,
    AND(TargetYear &gt; StartDate, TargetYear &lt; EndDate), 2,            
    TargetYear &gt;= EndDate, 3                                        
  )
)</f>
        <v>3</v>
      </c>
      <c r="AR5" s="107">
        <f>LET(
  TargetYear, AR4,
  StartDate, 'Person 1 Calculator'!$F$4,
  EndDate, 'Person 1 Calculator'!$F$5,
  IFS(
    TargetYear &lt; StartDate, 0,                                       
    TargetYear = StartDate, 1,
    AND(TargetYear &gt; StartDate, TargetYear &lt; EndDate), 2,            
    TargetYear &gt;= EndDate, 3                                        
  )
)</f>
        <v>3</v>
      </c>
      <c r="AS5" s="107">
        <f>LET(
  TargetYear, AS4,
  StartDate, 'Person 1 Calculator'!$F$4,
  EndDate, 'Person 1 Calculator'!$F$5,
  IFS(
    TargetYear &lt; StartDate, 0,                                       
    TargetYear = StartDate, 1,
    AND(TargetYear &gt; StartDate, TargetYear &lt; EndDate), 2,            
    TargetYear &gt;= EndDate, 3                                        
  )
)</f>
        <v>3</v>
      </c>
      <c r="AT5" s="107">
        <f>LET(
  TargetYear, AT4,
  StartDate, 'Person 1 Calculator'!$F$4,
  EndDate, 'Person 1 Calculator'!$F$5,
  IFS(
    TargetYear &lt; StartDate, 0,                                       
    TargetYear = StartDate, 1,
    AND(TargetYear &gt; StartDate, TargetYear &lt; EndDate), 2,            
    TargetYear &gt;= EndDate, 3                                        
  )
)</f>
        <v>3</v>
      </c>
      <c r="AU5" s="107">
        <f>LET(
  TargetYear, AU4,
  StartDate, 'Person 1 Calculator'!$F$4,
  EndDate, 'Person 1 Calculator'!$F$5,
  IFS(
    TargetYear &lt; StartDate, 0,                                       
    TargetYear = StartDate, 1,
    AND(TargetYear &gt; StartDate, TargetYear &lt; EndDate), 2,            
    TargetYear &gt;= EndDate, 3                                        
  )
)</f>
        <v>3</v>
      </c>
      <c r="AV5" s="107">
        <f>LET(
  TargetYear, AV4,
  StartDate, 'Person 1 Calculator'!$F$4,
  EndDate, 'Person 1 Calculator'!$F$5,
  IFS(
    TargetYear &lt; StartDate, 0,                                       
    TargetYear = StartDate, 1,
    AND(TargetYear &gt; StartDate, TargetYear &lt; EndDate), 2,            
    TargetYear &gt;= EndDate, 3                                        
  )
)</f>
        <v>3</v>
      </c>
      <c r="AW5" s="108"/>
    </row>
    <row r="6">
      <c r="A6" s="109" t="s">
        <v>54</v>
      </c>
      <c r="B6" s="92"/>
      <c r="C6" s="92"/>
      <c r="D6" s="110" t="str">
        <f>LET(
  CurrentYear, D4,
  PreviousYearValue, C6,
  ActionCode, N(D5),
  DeductionAmount, D7,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
      </c>
      <c r="E6" s="110" t="str">
        <f>if(D6&lt;0,D6, LET(
  CurrentYear, E4,
  PreviousYearValue, D6,
  ActionCode, N(E5),
  DeductionAmount, E7,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
      </c>
      <c r="F6" s="110">
        <f>if(E6&lt;0,E6, LET(
  CurrentYear, F4,
  PreviousYearValue, E6,
  ActionCode, N(F5),
  DeductionAmount, F7,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1000725</v>
      </c>
      <c r="G6" s="110">
        <f>if(F6&lt;0,F6, LET(
  CurrentYear, G4,
  PreviousYearValue, F6,
  ActionCode, N(G5),
  DeductionAmount, G7,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987414.0501</v>
      </c>
      <c r="H6" s="110">
        <f>if(G6&lt;0,G6, LET(
  CurrentYear, H4,
  PreviousYearValue, G6,
  ActionCode, N(H5),
  DeductionAmount, H7,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971021.1466</v>
      </c>
      <c r="I6" s="110">
        <f>if(H6&lt;0,H6, LET(
  CurrentYear, I4,
  PreviousYearValue, H6,
  ActionCode, N(I5),
  DeductionAmount, I7,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951290.544</v>
      </c>
      <c r="J6" s="110">
        <f>if(I6&lt;0,I6, LET(
  CurrentYear, J4,
  PreviousYearValue, I6,
  ActionCode, N(J5),
  DeductionAmount, J7,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927948.4878</v>
      </c>
      <c r="K6" s="110">
        <f>if(J6&lt;0,J6, LET(
  CurrentYear, K4,
  PreviousYearValue, J6,
  ActionCode, N(K5),
  DeductionAmount, K7,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900702.0093</v>
      </c>
      <c r="L6" s="110">
        <f>if(K6&lt;0,K6, LET(
  CurrentYear, L4,
  PreviousYearValue, K6,
  ActionCode, N(L5),
  DeductionAmount, L7,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869237.6416</v>
      </c>
      <c r="M6" s="110">
        <f>if(L6&lt;0,L6, LET(
  CurrentYear, M4,
  PreviousYearValue, L6,
  ActionCode, N(M5),
  DeductionAmount, M7,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833220.0499</v>
      </c>
      <c r="N6" s="110">
        <f>if(M6&lt;0,M6, LET(
  CurrentYear, N4,
  PreviousYearValue, M6,
  ActionCode, N(N5),
  DeductionAmount, N7,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792290.5739</v>
      </c>
      <c r="O6" s="110">
        <f>if(N6&lt;0,N6, LET(
  CurrentYear, O4,
  PreviousYearValue, N6,
  ActionCode, N(O5),
  DeductionAmount, O7,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746065.6724</v>
      </c>
      <c r="P6" s="110">
        <f>if(O6&lt;0,O6, LET(
  CurrentYear, P4,
  PreviousYearValue, O6,
  ActionCode, N(P5),
  DeductionAmount, P7,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711858.2324</v>
      </c>
      <c r="Q6" s="110">
        <f>if(P6&lt;0,P6, LET(
  CurrentYear, Q4,
  PreviousYearValue, P6,
  ActionCode, N(Q5),
  DeductionAmount, Q7,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673367.8206</v>
      </c>
      <c r="R6" s="110">
        <f>if(Q6&lt;0,Q6, LET(
  CurrentYear, R4,
  PreviousYearValue, Q6,
  ActionCode, N(R5),
  DeductionAmount, R7,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630275.1903</v>
      </c>
      <c r="S6" s="110">
        <f>if(R6&lt;0,R6, LET(
  CurrentYear, S4,
  PreviousYearValue, R6,
  ActionCode, N(S5),
  DeductionAmount, S7,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611469.4743</v>
      </c>
      <c r="T6" s="110">
        <f>if(S6&lt;0,S6, LET(
  CurrentYear, T4,
  PreviousYearValue, S6,
  ActionCode, N(T5),
  DeductionAmount, T7,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589988.2954</v>
      </c>
      <c r="U6" s="110">
        <f>if(T6&lt;0,T6, LET(
  CurrentYear, U4,
  PreviousYearValue, T6,
  ActionCode, N(U5),
  DeductionAmount, U7,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565633.3831</v>
      </c>
      <c r="V6" s="110">
        <f>if(U6&lt;0,U6, LET(
  CurrentYear, V4,
  PreviousYearValue, U6,
  ActionCode, N(V5),
  DeductionAmount, V7,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538193.4481</v>
      </c>
      <c r="W6" s="110">
        <f>if(V6&lt;0,V6, LET(
  CurrentYear, W4,
  PreviousYearValue, V6,
  ActionCode, N(W5),
  DeductionAmount, W7,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507443.3527</v>
      </c>
      <c r="X6" s="110">
        <f>if(W6&lt;0,W6, LET(
  CurrentYear, X4,
  PreviousYearValue, W6,
  ActionCode, N(X5),
  DeductionAmount, X7,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473143.2276</v>
      </c>
      <c r="Y6" s="110">
        <f>if(X6&lt;0,X6, LET(
  CurrentYear, Y4,
  PreviousYearValue, X6,
  ActionCode, N(Y5),
  DeductionAmount, Y7,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435037.5324</v>
      </c>
      <c r="Z6" s="110">
        <f>if(Y6&lt;0,Y6, LET(
  CurrentYear, Z4,
  PreviousYearValue, Y6,
  ActionCode, N(Z5),
  DeductionAmount, Z7,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392854.0563</v>
      </c>
      <c r="AA6" s="110">
        <f>if(Z6&lt;0,Z6, LET(
  CurrentYear, AA4,
  PreviousYearValue, Z6,
  ActionCode, N(AA5),
  DeductionAmount, AA7,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346302.8562</v>
      </c>
      <c r="AB6" s="110">
        <f>if(AA6&lt;0,AA6, LET(
  CurrentYear, AB4,
  PreviousYearValue, AA6,
  ActionCode, N(AB5),
  DeductionAmount, AB7,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295075.1256</v>
      </c>
      <c r="AC6" s="110">
        <f>if(AB6&lt;0,AB6, LET(
  CurrentYear, AC4,
  PreviousYearValue, AB6,
  ActionCode, N(AC5),
  DeductionAmount, AC7,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276258.5135</v>
      </c>
      <c r="AD6" s="110">
        <f>if(AC6&lt;0,AC6, LET(
  CurrentYear, AD4,
  PreviousYearValue, AC6,
  ActionCode, N(AD5),
  DeductionAmount, AD7,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255453.7698</v>
      </c>
      <c r="AE6" s="110">
        <f>if(AD6&lt;0,AD6, LET(
  CurrentYear, AE4,
  PreviousYearValue, AD6,
  ActionCode, N(AE5),
  DeductionAmount, AE7,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232530.2457</v>
      </c>
      <c r="AF6" s="110">
        <f>if(AE6&lt;0,AE6, LET(
  CurrentYear, AF4,
  PreviousYearValue, AE6,
  ActionCode, N(AF5),
  DeductionAmount, AF7,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207349.473</v>
      </c>
      <c r="AG6" s="110">
        <f>if(AF6&lt;0,AF6, LET(
  CurrentYear, AG4,
  PreviousYearValue, AF6,
  ActionCode, N(AG5),
  DeductionAmount, AG7,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179764.7007</v>
      </c>
      <c r="AH6" s="110">
        <f>if(AG6&lt;0,AG6, LET(
  CurrentYear, AH4,
  PreviousYearValue, AG6,
  ActionCode, N(AH5),
  DeductionAmount, AH7,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149620.4047</v>
      </c>
      <c r="AI6" s="110">
        <f>if(AH6&lt;0,AH6, LET(
  CurrentYear, AI4,
  PreviousYearValue, AH6,
  ActionCode, N(AI5),
  DeductionAmount, AI7,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116751.7664</v>
      </c>
      <c r="AJ6" s="110">
        <f>if(AI6&lt;0,AI6, LET(
  CurrentYear, AJ4,
  PreviousYearValue, AI6,
  ActionCode, N(AJ5),
  DeductionAmount, AJ7,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80984.1218</v>
      </c>
      <c r="AK6" s="110">
        <f>if(AJ6&lt;0,AJ6, LET(
  CurrentYear, AK4,
  PreviousYearValue, AJ6,
  ActionCode, N(AK5),
  DeductionAmount, AK7,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42132.37552</v>
      </c>
      <c r="AL6" s="110">
        <f>if(AK6&lt;0,AK6, LET(
  CurrentYear, AL4,
  PreviousYearValue, AK6,
  ActionCode, N(AL5),
  DeductionAmount, AL7,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0.3807638209</v>
      </c>
      <c r="AM6" s="110" t="str">
        <f>if(AL6&lt;0,AL6, LET(
  CurrentYear, AM4,
  PreviousYearValue, AL6,
  ActionCode, N(AM5),
  DeductionAmount, AM7,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
      </c>
      <c r="AN6" s="110" t="str">
        <f>if(AM6&lt;0,AM6, LET(
  CurrentYear, AN4,
  PreviousYearValue, AM6,
  ActionCode, N(AN5),
  DeductionAmount, AN7,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
      </c>
      <c r="AO6" s="110" t="str">
        <f>if(AN6&lt;0,AN6, LET(
  CurrentYear, AO4,
  PreviousYearValue, AN6,
  ActionCode, N(AO5),
  DeductionAmount, AO7,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
      </c>
      <c r="AP6" s="110" t="str">
        <f>if(AO6&lt;0,AO6, LET(
  CurrentYear, AP4,
  PreviousYearValue, AO6,
  ActionCode, N(AP5),
  DeductionAmount, AP7,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
      </c>
      <c r="AQ6" s="110" t="str">
        <f>if(AP6&lt;0,AP6, LET(
  CurrentYear, AQ4,
  PreviousYearValue, AP6,
  ActionCode, N(AQ5),
  DeductionAmount, AQ7,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
      </c>
      <c r="AR6" s="110" t="str">
        <f>if(AQ6&lt;0,AQ6, LET(
  CurrentYear, AR4,
  PreviousYearValue, AQ6,
  ActionCode, N(AR5),
  DeductionAmount, AR7,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
      </c>
      <c r="AS6" s="110" t="str">
        <f>if(AR6&lt;0,AR6, LET(
  CurrentYear, AS4,
  PreviousYearValue, AR6,
  ActionCode, N(AS5),
  DeductionAmount, AS7,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
      </c>
      <c r="AT6" s="110" t="str">
        <f>if(AS6&lt;0,AS6, LET(
  CurrentYear, AT4,
  PreviousYearValue, AS6,
  ActionCode, N(AT5),
  DeductionAmount, AT7,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
      </c>
      <c r="AU6" s="110" t="str">
        <f>if(AT6&lt;0,AT6, LET(
  CurrentYear, AU4,
  PreviousYearValue, AT6,
  ActionCode, N(AU5),
  DeductionAmount, AU7,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
      </c>
      <c r="AV6" s="110" t="str">
        <f>if(AU6&lt;0,AU6, LET(
  CurrentYear, AV4,
  PreviousYearValue, AU6,
  ActionCode, N(AV5),
  DeductionAmount, AV7,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
      </c>
      <c r="AW6" s="103"/>
    </row>
    <row r="7">
      <c r="A7" s="111" t="s">
        <v>55</v>
      </c>
      <c r="B7" s="92"/>
      <c r="C7" s="92"/>
      <c r="D7" s="112" t="str">
        <f>IF(OR(D5=1, D5=2), D26-D12-D14-D16-D18-D20-D22, )</f>
        <v/>
      </c>
      <c r="E7" s="112" t="str">
        <f>LET(
  base, E26 - E12 - E14 - E16 - E18 - E20 - E22,
  IFS(
    E5 = 0, "",
    E5 = 1, base,
    E5 = 2, IF(
      ISNUMBER(SEARCH("Smooth", 'Person 1 Calculator'!$F$20)),
      MAX(base, 0),
      D7
    ),
    E5 = 3, ""
  )
)
</f>
        <v/>
      </c>
      <c r="F7" s="112" t="str">
        <f>LET(
  base, F26 - F12 - F14 - F16 - F18 - F20 - F22,
  IFS(
    F5 = 0, "",
    F5 = 1, base,
    F5 = 2, IF(
      ISNUMBER(SEARCH("Smooth", 'Person 1 Calculator'!$F$20)),
      MAX(base, 0),
      E7
    ),
    F5 = 3, ""
  )
)
</f>
        <v/>
      </c>
      <c r="G7" s="112">
        <f>LET(
  base, G26 - G12 - G14 - G16 - G18 - G20 - G22,
  IFS(
    G5 = 0, "",
    G5 = 1, base,
    G5 = 2, IF(
      ISNUMBER(SEARCH("Smooth", 'Person 1 Calculator'!$F$20)),
      MAX(base, 0),
      F7
    ),
    G5 = 3, ""
  )
)
</f>
        <v>78358.07487</v>
      </c>
      <c r="H7" s="112">
        <f>LET(
  base, H26 - H12 - H14 - H16 - H18 - H20 - H22,
  IFS(
    H5 = 0, "",
    H5 = 1, base,
    H5 = 2, IF(
      ISNUMBER(SEARCH("Smooth", 'Person 1 Calculator'!$F$20)),
      MAX(base, 0),
      G7
    ),
    H5 = 3, ""
  )
)
</f>
        <v>80574.81675</v>
      </c>
      <c r="I7" s="112">
        <f>IF(OR(I5=1, I5=2), I26-I12-I14-I16-I18-I20-I22, )</f>
        <v>82846.97716</v>
      </c>
      <c r="J7" s="112">
        <f>LET(
  base, J26 - J12 - J14 - J16 - J18 - J20 - J22,
  IFS(
    J5 = 0, "",
    J5 = 1, base,
    J5 = 2, IF(
      ISNUMBER(SEARCH("Smooth", 'Person 1 Calculator'!$F$20)),
      MAX(base, 0),
      I7
    ),
    J5 = 3, ""
  )
)
</f>
        <v>85175.94159</v>
      </c>
      <c r="K7" s="112">
        <f>LET(
  base, K26 - K12 - K14 - K16 - K18 - K20 - K22,
  IFS(
    K5 = 0, "",
    K5 = 1, base,
    K5 = 2, IF(
      ISNUMBER(SEARCH("Smooth", 'Person 1 Calculator'!$F$20)),
      MAX(base, 0),
      J7
    ),
    K5 = 3, ""
  )
)
</f>
        <v>87563.13013</v>
      </c>
      <c r="L7" s="112">
        <f>LET(
  base, L26 - L12 - L14 - L16 - L18 - L20 - L22,
  IFS(
    L5 = 0, "",
    L5 = 1, base,
    L5 = 2, IF(
      ISNUMBER(SEARCH("Smooth", 'Person 1 Calculator'!$F$20)),
      MAX(base, 0),
      K7
    ),
    L5 = 3, ""
  )
)
</f>
        <v>90009.99839</v>
      </c>
      <c r="M7" s="112">
        <f>LET(
  base, M26 - M12 - M14 - M16 - M18 - M20 - M22,
  IFS(
    M5 = 0, "",
    M5 = 1, base,
    M5 = 2, IF(
      ISNUMBER(SEARCH("Smooth", 'Person 1 Calculator'!$F$20)),
      MAX(base, 0),
      L7
    ),
    M5 = 3, ""
  )
)
</f>
        <v>92518.03835</v>
      </c>
      <c r="N7" s="112">
        <f>IF(OR(N5=1, N5=2), N26-N12-N14-N16-N18-N20-N22, )</f>
        <v>95088.7793</v>
      </c>
      <c r="O7" s="112">
        <f>LET(
  base, O26 - O12 - O14 - O16 - O18 - O20 - O22,
  IFS(
    O5 = 0, "",
    O5 = 1, base,
    O5 = 2, IF(
      ISNUMBER(SEARCH("Smooth", 'Person 1 Calculator'!$F$20)),
      MAX(base, 0),
      N7
    ),
    O5 = 3, ""
  )
)
</f>
        <v>97723.78879</v>
      </c>
      <c r="P7" s="112">
        <f>LET(
  base, P26 - P12 - P14 - P16 - P18 - P20 - P22,
  raw,
    IFS(
      P5 = 0, "",
      P5 = 1, base,
      P5 = 2, IF(
              ISNUMBER(SEARCH("Smooth", 'Person 1 Calculator'!$F$20)),
              base,
              O7 - P16
            ),
      P5 = 3, ""
    ),
  IF(ISNUMBER(raw), MAX(raw, 0), raw)
)
</f>
        <v>82701.70868</v>
      </c>
      <c r="Q7" s="112">
        <f>LET(
  base, Q26 - Q12 - Q14 - Q16 - Q18 - Q20 - Q22,
  IFS(
    Q5 = 0, "",
    Q5 = 1, base,
    Q5 = 2, IF(
      ISNUMBER(SEARCH("Smooth", 'Person 1 Calculator'!$F$20)),
      MAX(base, 0),
      P7
    ),
    Q5 = 3, ""
  )
)
</f>
        <v>84761.19693</v>
      </c>
      <c r="R7" s="112">
        <f>LET(
  base, R26 - R12 - R14 - R16 - R18 - R20 - R22,
  IFS(
    R5 = 0, "",
    R5 = 1, base,
    R5 = 2, IF(
      ISNUMBER(SEARCH("Smooth", 'Person 1 Calculator'!$F$20)),
      MAX(base, 0),
      Q7
    ),
    R5 = 3, ""
  )
)
</f>
        <v>86861.5386</v>
      </c>
      <c r="S7" s="112">
        <f>IF(
  OR(S5 = 1, S5 = 2),
  MAX(0, (1-'Person 1 Calculator'!$F$16)*S26 - S12 - S14 - S16 - S18 - S20 - S22),
  ""
)
</f>
        <v>59773.60343</v>
      </c>
      <c r="T7" s="112">
        <f>LET(
  base, (1-'Person 1 Calculator'!$F$16)*T26 - T12 - T14 - T16 - T18 - T20 - T22,
  IFS(
    T5 = 0, "",
    T5 = 1, base,
    T5 = 2, IF(
      ISNUMBER(SEARCH("Smooth", 'Person 1 Calculator'!$F$20)),
      MAX(base, 0),
      S7
    ),
    T5 = 3, ""
  )
)
</f>
        <v>61226.69464</v>
      </c>
      <c r="U7" s="112">
        <f>LET(
  base, (1-'Person 1 Calculator'!$F$16)*U26 - U12 - U14 - U16 - U18 - U20 - U22,
  IFS(
    U5 = 0, "",
    U5 = 1, base,
    U5 = 2, IF(
      ISNUMBER(SEARCH("Smooth", 'Person 1 Calculator'!$F$20)),
      MAX(base, 0),
      T7
    ),
    U5 = 3, ""
  )
)
</f>
        <v>62704.15157</v>
      </c>
      <c r="V7" s="112">
        <f>LET(
  base, (1-'Person 1 Calculator'!$F$16)*V26 - V12 - V14 - V16 - V18 - V20 - V22,
  IFS(
    V5 = 0, "",
    V5 = 1, base,
    V5 = 2, IF(
      ISNUMBER(SEARCH("Smooth", 'Person 1 Calculator'!$F$20)),
      MAX(base, 0),
      U7
    ),
    V5 = 3, ""
  )
)
</f>
        <v>64206.10491</v>
      </c>
      <c r="W7" s="112">
        <f>LET(
  base, (1-'Person 1 Calculator'!$F$16)*W26 - W12 - W14 - W16 - W18 - W20 - W22,
  IFS(
    W5 = 0, "",
    W5 = 1, base,
    W5 = 2, IF(
      ISNUMBER(SEARCH("Smooth", 'Person 1 Calculator'!$F$20)),
      MAX(base, 0),
      V7
    ),
    W5 = 3, ""
  )
)
</f>
        <v>65732.66947</v>
      </c>
      <c r="X7" s="112">
        <f>IF(
  OR(X5 = 1, X5 = 2),
  MAX(0, (1-'Person 1 Calculator'!$F$16)*X26 - X12 - X14 - X16 - X18 - X20 - X22),
  ""
)
</f>
        <v>67283.94302</v>
      </c>
      <c r="Y7" s="112">
        <f>LET(
  base, (1-'Person 1 Calculator'!$F$16)*Y26 - Y12 - Y14 - Y16 - Y18 - Y20 - Y22,
  IFS(
    Y5 = 0, "",
    Y5 = 1, base,
    Y5 = 2, IF(
      ISNUMBER(SEARCH("Smooth", 'Person 1 Calculator'!$F$20)),
      MAX(base, 0),
      X7
    ),
    Y5 = 3, ""
  )
)
</f>
        <v>68860.00507</v>
      </c>
      <c r="Z7" s="112">
        <f>LET(
  base, (1-'Person 1 Calculator'!$F$16)*Z26 - Z12 - Z14 - Z16 - Z18 - Z20 - Z22,
  IFS(
    Z5 = 0, "",
    Z5 = 1, base,
    Z5 = 2, IF(
      ISNUMBER(SEARCH("Smooth", 'Person 1 Calculator'!$F$20)),
      MAX(base, 0),
      Y7
    ),
    Z5 = 3, ""
  )
)
</f>
        <v>70460.91562</v>
      </c>
      <c r="AA7" s="112">
        <f>LET(
  base, (1-'Person 1 Calculator'!$F$16)*AA26 - AA12 - AA14 - AA16 - AA18 - AA20 - AA22,
  IFS(
    AA5 = 0, "",
    AA5 = 1, base,
    AA5 = 2, IF(
      ISNUMBER(SEARCH("Smooth", 'Person 1 Calculator'!$F$20)),
      MAX(base, 0),
      Z7
    ),
    AA5 = 3, ""
  )
)
</f>
        <v>72086.71375</v>
      </c>
      <c r="AB7" s="112">
        <f>LET(
  base, (1-'Person 1 Calculator'!$F$16)*AB26 - AB12 - AB14 - AB16 - AB18 - AB20 - AB22,
  IFS(
    AB5 = 0, "",
    AB5 = 1, base,
    AB5 = 2, IF(
      ISNUMBER(SEARCH("Smooth", 'Person 1 Calculator'!$F$20)),
      MAX(base, 0),
      AA7
    ),
    AB5 = 3, ""
  )
)
</f>
        <v>73737.41625</v>
      </c>
      <c r="AC7" s="112">
        <f>IF(
  OR(AC5 = 1, AC5 = 2),
  MAX(0, (1-'Person 1 Calculator'!$F$17)*AC26 - AC12 - AC14 - AC16 - AC18 - AC20 - AC22),
  ""
)
</f>
        <v>37996.49528</v>
      </c>
      <c r="AD7" s="112">
        <f>LET(
  base, (1-'Person 1 Calculator'!$F$17)*AD26 - AD12 - AD14 - AD16 - AD18 - AD20 - AD22,
  IFS(
    AD5 = 0, "",
    AD5 = 1, base,
    AD5 = 2, IF(
      ISNUMBER(SEARCH("Smooth", 'Person 1 Calculator'!$F$20)),
      MAX(base, 0),
      AC7
    ),
    AD5 = 3, ""
  )
)
</f>
        <v>38761.54707</v>
      </c>
      <c r="AE7" s="112">
        <f>LET(
  base, (1-'Person 1 Calculator'!$F$17)*AE26 - AE12 - AE14 - AE16 - AE18 - AE20 - AE22,
  IFS(
    AE5 = 0, "",
    AE5 = 1, base,
    AE5 = 2, IF(
      ISNUMBER(SEARCH("Smooth", 'Person 1 Calculator'!$F$20)),
      MAX(base, 0),
      AD7
    ),
    AE5 = 3, ""
  )
)
</f>
        <v>39528.01914</v>
      </c>
      <c r="AF7" s="112">
        <f>LET(
  base, (1-'Person 1 Calculator'!$F$17)*AF26 - AF12 - AF14 - AF16 - AF18 - AF20 - AF22,
  IFS(
    AF5 = 0, "",
    AF5 = 1, base,
    AF5 = 2, IF(
      ISNUMBER(SEARCH("Smooth", 'Person 1 Calculator'!$F$20)),
      MAX(base, 0),
      AE7
    ),
    AF5 = 3, ""
  )
)
</f>
        <v>40295.23874</v>
      </c>
      <c r="AG7" s="112">
        <f>LET(
  base, (1-'Person 1 Calculator'!$F$17)*AG26 - AG12 - AG14 - AG16 - AG18 - AG20 - AG22,
  IFS(
    AG5 = 0, "",
    AG5 = 1, base,
    AG5 = 2, IF(
      ISNUMBER(SEARCH("Smooth", 'Person 1 Calculator'!$F$20)),
      MAX(base, 0),
      AF7
    ),
    AG5 = 3, ""
  )
)
</f>
        <v>41062.488</v>
      </c>
      <c r="AH7" s="112">
        <f>IF(
  OR(AH5 = 1, AH5 = 2),
  MAX(0, (1-'Person 1 Calculator'!$F$17)*AH26 - AH12 - AH14 - AH16 - AH18 - AH20 - AH22),
  ""
)
</f>
        <v>41829.00162</v>
      </c>
      <c r="AI7" s="112">
        <f>LET(
  base, (1-'Person 1 Calculator'!$F$17)*AI26 - AI12 - AI14 - AI16 - AI18 - AI20 - AI22,
  IFS(
    AI5 = 0, "",
    AI5 = 1, base,
    AI5 = 2, IF(
      ISNUMBER(SEARCH("Smooth", 'Person 1 Calculator'!$F$20)),
      MAX(base, 0),
      AH7
    ),
    AI5 = 3, ""
  )
)
</f>
        <v>42593.96454</v>
      </c>
      <c r="AJ7" s="112">
        <f>LET(
  base, (1-'Person 1 Calculator'!$F$17)*AJ26 - AJ12 - AJ14 - AJ16 - AJ18 - AJ20 - AJ22,
  IFS(
    AJ5 = 0, "",
    AJ5 = 1, base,
    AJ5 = 2, IF(
      ISNUMBER(SEARCH("Smooth", 'Person 1 Calculator'!$F$20)),
      MAX(base, 0),
      AI7
    ),
    AJ5 = 3, ""
  )
)
</f>
        <v>43356.50944</v>
      </c>
      <c r="AK7" s="112">
        <f>LET(
  base, (1-'Person 1 Calculator'!$F$17)*AK26 - AK12 - AK14 - AK16 - AK18 - AK20 - AK22,
  IFS(
    AK5 = 0, "",
    AK5 = 1, base,
    AK5 = 2, IF(
      ISNUMBER(SEARCH("Smooth", 'Person 1 Calculator'!$F$20)),
      MAX(base, 0),
      AJ7
    ),
    AK5 = 3, ""
  )
)
</f>
        <v>44115.7142</v>
      </c>
      <c r="AL7" s="112">
        <f>LET(
  base, (1-'Person 1 Calculator'!$F$17)*AL26 - AL12 - AL14 - AL16 - AL18 - AL20 - AL22,
  IFS(
    AL5 = 0, "",
    AL5 = 1, base,
    AL5 = 2, IF(
      ISNUMBER(SEARCH("Smooth", 'Person 1 Calculator'!$F$20)),
      MAX(base, 0),
      AK7
    ),
    AL5 = 3, ""
  )
)
</f>
        <v>44870.59916</v>
      </c>
      <c r="AM7" s="112" t="str">
        <f>IF(
  OR(AM5 = 1, AM5 = 2),
  MAX(0, (1-'Person 1 Calculator'!$F$17)*AM26 - AM12 - AM14 - AM16 - AM18 - AM20 - AM22),
  ""
)
</f>
        <v/>
      </c>
      <c r="AN7" s="112" t="str">
        <f>LET(
  base, (1-'Person 1 Calculator'!$F$17)*AN26 - AN12 - AN14 - AN16 - AN18 - AN20 - AN22,
  IFS(
    AN5 = 0, "",
    AN5 = 1, base,
    AN5 = 2, IF(
      ISNUMBER(SEARCH("Smooth", 'Person 1 Calculator'!$F$20)),
      MAX(base, 0),
      AM7
    ),
    AN5 = 3, ""
  )
)
</f>
        <v/>
      </c>
      <c r="AO7" s="112" t="str">
        <f>LET(
  base, (1-'Person 1 Calculator'!$F$17)*AO26 - AO12 - AO14 - AO16 - AO18 - AO20 - AO22,
  IFS(
    AO5 = 0, "",
    AO5 = 1, base,
    AO5 = 2, IF(
      ISNUMBER(SEARCH("Smooth", 'Person 1 Calculator'!$F$20)),
      MAX(base, 0),
      AN7
    ),
    AO5 = 3, ""
  )
)
</f>
        <v/>
      </c>
      <c r="AP7" s="112" t="str">
        <f>LET(
  base, (1-'Person 1 Calculator'!$F$17)*AP26 - AP12 - AP14 - AP16 - AP18 - AP20 - AP22,
  IFS(
    AP5 = 0, "",
    AP5 = 1, base,
    AP5 = 2, IF(
      ISNUMBER(SEARCH("Smooth", 'Person 1 Calculator'!$F$20)),
      MAX(base, 0),
      AO7
    ),
    AP5 = 3, ""
  )
)
</f>
        <v/>
      </c>
      <c r="AQ7" s="112" t="str">
        <f>LET(
  base, (1-'Person 1 Calculator'!$F$17)*AQ26 - AQ12 - AQ14 - AQ16 - AQ18 - AQ20 - AQ22,
  IFS(
    AQ5 = 0, "",
    AQ5 = 1, base,
    AQ5 = 2, IF(
      ISNUMBER(SEARCH("Smooth", 'Person 1 Calculator'!$F$20)),
      MAX(base, 0),
      AP7
    ),
    AQ5 = 3, ""
  )
)
</f>
        <v/>
      </c>
      <c r="AR7" s="112" t="str">
        <f>IF(
  OR(AR5 = 1, AR5 = 2),
  MAX(0, (1-'Person 1 Calculator'!$F$17)*AR26 - AR12 - AR14 - AR16 - AR18 - AR20 - AR22),
  ""
)
</f>
        <v/>
      </c>
      <c r="AS7" s="112" t="str">
        <f>LET(
  base, (1-'Person 1 Calculator'!$F$17)*AS26 - AS12 - AS14 - AS16 - AS18 - AS20 - AS22,
  IFS(
    AS5 = 0, "",
    AS5 = 1, base,
    AS5 = 2, IF(
      ISNUMBER(SEARCH("Smooth", 'Person 1 Calculator'!$F$20)),
      MAX(base, 0),
      AR7
    ),
    AS5 = 3, ""
  )
)
</f>
        <v/>
      </c>
      <c r="AT7" s="112" t="str">
        <f>LET(
  base, (1-'Person 1 Calculator'!$F$17)*AT26 - AT12 - AT14 - AT16 - AT18 - AT20 - AT22,
  IFS(
    AT5 = 0, "",
    AT5 = 1, base,
    AT5 = 2, IF(
      ISNUMBER(SEARCH("Smooth", 'Person 1 Calculator'!$F$20)),
      MAX(base, 0),
      AS7
    ),
    AT5 = 3, ""
  )
)
</f>
        <v/>
      </c>
      <c r="AU7" s="112" t="str">
        <f>LET(
  base, (1-'Person 1 Calculator'!$F$17)*AU26 - AU12 - AU14 - AU16 - AU18 - AU20 - AU22,
  IFS(
    AU5 = 0, "",
    AU5 = 1, base,
    AU5 = 2, IF(
      ISNUMBER(SEARCH("Smooth", 'Person 1 Calculator'!$F$20)),
      MAX(base, 0),
      AT7
    ),
    AU5 = 3, ""
  )
)
</f>
        <v/>
      </c>
      <c r="AV7" s="112" t="str">
        <f>LET(
  base, (1-'Person 1 Calculator'!$F$17)*AV26 - AV12 - AV14 - AV16 - AV18 - AV20 - AV22,
  IFS(
    AV5 = 0, "",
    AV5 = 1, base,
    AV5 = 2, IF(
      ISNUMBER(SEARCH("Smooth", 'Person 1 Calculator'!$F$20)),
      MAX(base, 0),
      AU7
    ),
    AV5 = 3, ""
  )
)
</f>
        <v/>
      </c>
      <c r="AW7" s="103"/>
    </row>
    <row r="8">
      <c r="A8" s="113" t="s">
        <v>56</v>
      </c>
      <c r="B8" s="92"/>
      <c r="C8" s="92"/>
      <c r="D8" s="110" t="str">
        <f t="shared" ref="D8:AV8" si="2">if(N(D7)&gt;0,D7*0.75,)</f>
        <v/>
      </c>
      <c r="E8" s="110" t="str">
        <f t="shared" si="2"/>
        <v/>
      </c>
      <c r="F8" s="110" t="str">
        <f t="shared" si="2"/>
        <v/>
      </c>
      <c r="G8" s="110">
        <f t="shared" si="2"/>
        <v>58768.55616</v>
      </c>
      <c r="H8" s="110">
        <f t="shared" si="2"/>
        <v>60431.11256</v>
      </c>
      <c r="I8" s="110">
        <f t="shared" si="2"/>
        <v>62135.23287</v>
      </c>
      <c r="J8" s="110">
        <f t="shared" si="2"/>
        <v>63881.95619</v>
      </c>
      <c r="K8" s="110">
        <f t="shared" si="2"/>
        <v>65672.3476</v>
      </c>
      <c r="L8" s="110">
        <f t="shared" si="2"/>
        <v>67507.49879</v>
      </c>
      <c r="M8" s="110">
        <f t="shared" si="2"/>
        <v>69388.52876</v>
      </c>
      <c r="N8" s="110">
        <f t="shared" si="2"/>
        <v>71316.58448</v>
      </c>
      <c r="O8" s="110">
        <f t="shared" si="2"/>
        <v>73292.84159</v>
      </c>
      <c r="P8" s="110">
        <f t="shared" si="2"/>
        <v>62026.28151</v>
      </c>
      <c r="Q8" s="110">
        <f t="shared" si="2"/>
        <v>63570.8977</v>
      </c>
      <c r="R8" s="110">
        <f t="shared" si="2"/>
        <v>65146.15395</v>
      </c>
      <c r="S8" s="110">
        <f t="shared" si="2"/>
        <v>44830.20257</v>
      </c>
      <c r="T8" s="110">
        <f t="shared" si="2"/>
        <v>45920.02098</v>
      </c>
      <c r="U8" s="110">
        <f t="shared" si="2"/>
        <v>47028.11368</v>
      </c>
      <c r="V8" s="110">
        <f t="shared" si="2"/>
        <v>48154.57869</v>
      </c>
      <c r="W8" s="110">
        <f t="shared" si="2"/>
        <v>49299.5021</v>
      </c>
      <c r="X8" s="110">
        <f t="shared" si="2"/>
        <v>50462.95726</v>
      </c>
      <c r="Y8" s="110">
        <f t="shared" si="2"/>
        <v>51645.00381</v>
      </c>
      <c r="Z8" s="110">
        <f t="shared" si="2"/>
        <v>52845.68672</v>
      </c>
      <c r="AA8" s="110">
        <f t="shared" si="2"/>
        <v>54065.03532</v>
      </c>
      <c r="AB8" s="110">
        <f t="shared" si="2"/>
        <v>55303.06218</v>
      </c>
      <c r="AC8" s="110">
        <f t="shared" si="2"/>
        <v>28497.37146</v>
      </c>
      <c r="AD8" s="110">
        <f t="shared" si="2"/>
        <v>29071.1603</v>
      </c>
      <c r="AE8" s="110">
        <f t="shared" si="2"/>
        <v>29646.01435</v>
      </c>
      <c r="AF8" s="110">
        <f t="shared" si="2"/>
        <v>30221.42905</v>
      </c>
      <c r="AG8" s="110">
        <f t="shared" si="2"/>
        <v>30796.866</v>
      </c>
      <c r="AH8" s="110">
        <f t="shared" si="2"/>
        <v>31371.75121</v>
      </c>
      <c r="AI8" s="110">
        <f t="shared" si="2"/>
        <v>31945.4734</v>
      </c>
      <c r="AJ8" s="110">
        <f t="shared" si="2"/>
        <v>32517.38208</v>
      </c>
      <c r="AK8" s="110">
        <f t="shared" si="2"/>
        <v>33086.78565</v>
      </c>
      <c r="AL8" s="110">
        <f t="shared" si="2"/>
        <v>33652.94937</v>
      </c>
      <c r="AM8" s="110" t="str">
        <f t="shared" si="2"/>
        <v/>
      </c>
      <c r="AN8" s="110" t="str">
        <f t="shared" si="2"/>
        <v/>
      </c>
      <c r="AO8" s="110" t="str">
        <f t="shared" si="2"/>
        <v/>
      </c>
      <c r="AP8" s="110" t="str">
        <f t="shared" si="2"/>
        <v/>
      </c>
      <c r="AQ8" s="110" t="str">
        <f t="shared" si="2"/>
        <v/>
      </c>
      <c r="AR8" s="110" t="str">
        <f t="shared" si="2"/>
        <v/>
      </c>
      <c r="AS8" s="110" t="str">
        <f t="shared" si="2"/>
        <v/>
      </c>
      <c r="AT8" s="110" t="str">
        <f t="shared" si="2"/>
        <v/>
      </c>
      <c r="AU8" s="110" t="str">
        <f t="shared" si="2"/>
        <v/>
      </c>
      <c r="AV8" s="110" t="str">
        <f t="shared" si="2"/>
        <v/>
      </c>
      <c r="AW8" s="103"/>
    </row>
    <row r="9">
      <c r="A9" s="113" t="s">
        <v>57</v>
      </c>
      <c r="B9" s="92"/>
      <c r="C9" s="92"/>
      <c r="D9" s="110" t="str">
        <f t="shared" ref="D9:AV9" si="3">if(N(D7)&gt;0,D7*0.25,)</f>
        <v/>
      </c>
      <c r="E9" s="110" t="str">
        <f t="shared" si="3"/>
        <v/>
      </c>
      <c r="F9" s="110" t="str">
        <f t="shared" si="3"/>
        <v/>
      </c>
      <c r="G9" s="110">
        <f t="shared" si="3"/>
        <v>19589.51872</v>
      </c>
      <c r="H9" s="110">
        <f t="shared" si="3"/>
        <v>20143.70419</v>
      </c>
      <c r="I9" s="110">
        <f t="shared" si="3"/>
        <v>20711.74429</v>
      </c>
      <c r="J9" s="110">
        <f t="shared" si="3"/>
        <v>21293.9854</v>
      </c>
      <c r="K9" s="110">
        <f t="shared" si="3"/>
        <v>21890.78253</v>
      </c>
      <c r="L9" s="110">
        <f t="shared" si="3"/>
        <v>22502.4996</v>
      </c>
      <c r="M9" s="110">
        <f t="shared" si="3"/>
        <v>23129.50959</v>
      </c>
      <c r="N9" s="110">
        <f t="shared" si="3"/>
        <v>23772.19483</v>
      </c>
      <c r="O9" s="110">
        <f t="shared" si="3"/>
        <v>24430.9472</v>
      </c>
      <c r="P9" s="110">
        <f t="shared" si="3"/>
        <v>20675.42717</v>
      </c>
      <c r="Q9" s="110">
        <f t="shared" si="3"/>
        <v>21190.29923</v>
      </c>
      <c r="R9" s="110">
        <f t="shared" si="3"/>
        <v>21715.38465</v>
      </c>
      <c r="S9" s="110">
        <f t="shared" si="3"/>
        <v>14943.40086</v>
      </c>
      <c r="T9" s="110">
        <f t="shared" si="3"/>
        <v>15306.67366</v>
      </c>
      <c r="U9" s="110">
        <f t="shared" si="3"/>
        <v>15676.03789</v>
      </c>
      <c r="V9" s="110">
        <f t="shared" si="3"/>
        <v>16051.52623</v>
      </c>
      <c r="W9" s="110">
        <f t="shared" si="3"/>
        <v>16433.16737</v>
      </c>
      <c r="X9" s="110">
        <f t="shared" si="3"/>
        <v>16820.98575</v>
      </c>
      <c r="Y9" s="110">
        <f t="shared" si="3"/>
        <v>17215.00127</v>
      </c>
      <c r="Z9" s="110">
        <f t="shared" si="3"/>
        <v>17615.22891</v>
      </c>
      <c r="AA9" s="110">
        <f t="shared" si="3"/>
        <v>18021.67844</v>
      </c>
      <c r="AB9" s="110">
        <f t="shared" si="3"/>
        <v>18434.35406</v>
      </c>
      <c r="AC9" s="110">
        <f t="shared" si="3"/>
        <v>9499.123819</v>
      </c>
      <c r="AD9" s="110">
        <f t="shared" si="3"/>
        <v>9690.386768</v>
      </c>
      <c r="AE9" s="110">
        <f t="shared" si="3"/>
        <v>9882.004784</v>
      </c>
      <c r="AF9" s="110">
        <f t="shared" si="3"/>
        <v>10073.80968</v>
      </c>
      <c r="AG9" s="110">
        <f t="shared" si="3"/>
        <v>10265.622</v>
      </c>
      <c r="AH9" s="110">
        <f t="shared" si="3"/>
        <v>10457.2504</v>
      </c>
      <c r="AI9" s="110">
        <f t="shared" si="3"/>
        <v>10648.49113</v>
      </c>
      <c r="AJ9" s="110">
        <f t="shared" si="3"/>
        <v>10839.12736</v>
      </c>
      <c r="AK9" s="110">
        <f t="shared" si="3"/>
        <v>11028.92855</v>
      </c>
      <c r="AL9" s="110">
        <f t="shared" si="3"/>
        <v>11217.64979</v>
      </c>
      <c r="AM9" s="110" t="str">
        <f t="shared" si="3"/>
        <v/>
      </c>
      <c r="AN9" s="110" t="str">
        <f t="shared" si="3"/>
        <v/>
      </c>
      <c r="AO9" s="110" t="str">
        <f t="shared" si="3"/>
        <v/>
      </c>
      <c r="AP9" s="110" t="str">
        <f t="shared" si="3"/>
        <v/>
      </c>
      <c r="AQ9" s="110" t="str">
        <f t="shared" si="3"/>
        <v/>
      </c>
      <c r="AR9" s="110" t="str">
        <f t="shared" si="3"/>
        <v/>
      </c>
      <c r="AS9" s="110" t="str">
        <f t="shared" si="3"/>
        <v/>
      </c>
      <c r="AT9" s="110" t="str">
        <f t="shared" si="3"/>
        <v/>
      </c>
      <c r="AU9" s="110" t="str">
        <f t="shared" si="3"/>
        <v/>
      </c>
      <c r="AV9" s="110" t="str">
        <f t="shared" si="3"/>
        <v/>
      </c>
      <c r="AW9" s="103"/>
    </row>
    <row r="10">
      <c r="A10" s="113" t="s">
        <v>58</v>
      </c>
      <c r="B10" s="92"/>
      <c r="C10" s="92"/>
      <c r="D10" s="110" t="str">
        <f>D9</f>
        <v/>
      </c>
      <c r="E10" s="110" t="str">
        <f t="shared" ref="E10:AV10" si="4">if(OR(E5=1,E5=2),D10+E9,)</f>
        <v/>
      </c>
      <c r="F10" s="110" t="str">
        <f t="shared" si="4"/>
        <v/>
      </c>
      <c r="G10" s="110">
        <f t="shared" si="4"/>
        <v>19589.51872</v>
      </c>
      <c r="H10" s="110">
        <f t="shared" si="4"/>
        <v>39733.2229</v>
      </c>
      <c r="I10" s="110">
        <f t="shared" si="4"/>
        <v>60444.9672</v>
      </c>
      <c r="J10" s="110">
        <f t="shared" si="4"/>
        <v>81738.95259</v>
      </c>
      <c r="K10" s="110">
        <f t="shared" si="4"/>
        <v>103629.7351</v>
      </c>
      <c r="L10" s="110">
        <f t="shared" si="4"/>
        <v>126132.2347</v>
      </c>
      <c r="M10" s="110">
        <f t="shared" si="4"/>
        <v>149261.7443</v>
      </c>
      <c r="N10" s="110">
        <f t="shared" si="4"/>
        <v>173033.9391</v>
      </c>
      <c r="O10" s="110">
        <f t="shared" si="4"/>
        <v>197464.8863</v>
      </c>
      <c r="P10" s="110">
        <f t="shared" si="4"/>
        <v>218140.3135</v>
      </c>
      <c r="Q10" s="110">
        <f t="shared" si="4"/>
        <v>239330.6127</v>
      </c>
      <c r="R10" s="110">
        <f t="shared" si="4"/>
        <v>261045.9974</v>
      </c>
      <c r="S10" s="110">
        <f t="shared" si="4"/>
        <v>275989.3982</v>
      </c>
      <c r="T10" s="110">
        <f t="shared" si="4"/>
        <v>291296.0719</v>
      </c>
      <c r="U10" s="110">
        <f t="shared" si="4"/>
        <v>306972.1098</v>
      </c>
      <c r="V10" s="110">
        <f t="shared" si="4"/>
        <v>323023.636</v>
      </c>
      <c r="W10" s="110">
        <f t="shared" si="4"/>
        <v>339456.8034</v>
      </c>
      <c r="X10" s="110">
        <f t="shared" si="4"/>
        <v>356277.7891</v>
      </c>
      <c r="Y10" s="110">
        <f t="shared" si="4"/>
        <v>373492.7904</v>
      </c>
      <c r="Z10" s="110">
        <f t="shared" si="4"/>
        <v>391108.0193</v>
      </c>
      <c r="AA10" s="110">
        <f t="shared" si="4"/>
        <v>409129.6978</v>
      </c>
      <c r="AB10" s="110">
        <f t="shared" si="4"/>
        <v>427564.0518</v>
      </c>
      <c r="AC10" s="110">
        <f t="shared" si="4"/>
        <v>437063.1756</v>
      </c>
      <c r="AD10" s="110">
        <f t="shared" si="4"/>
        <v>446753.5624</v>
      </c>
      <c r="AE10" s="110">
        <f t="shared" si="4"/>
        <v>456635.5672</v>
      </c>
      <c r="AF10" s="110">
        <f t="shared" si="4"/>
        <v>466709.3769</v>
      </c>
      <c r="AG10" s="110">
        <f t="shared" si="4"/>
        <v>476974.9989</v>
      </c>
      <c r="AH10" s="110">
        <f t="shared" si="4"/>
        <v>487432.2493</v>
      </c>
      <c r="AI10" s="110">
        <f t="shared" si="4"/>
        <v>498080.7404</v>
      </c>
      <c r="AJ10" s="110">
        <f t="shared" si="4"/>
        <v>508919.8678</v>
      </c>
      <c r="AK10" s="110">
        <f t="shared" si="4"/>
        <v>519948.7963</v>
      </c>
      <c r="AL10" s="110">
        <f t="shared" si="4"/>
        <v>531166.4461</v>
      </c>
      <c r="AM10" s="110" t="str">
        <f t="shared" si="4"/>
        <v/>
      </c>
      <c r="AN10" s="110" t="str">
        <f t="shared" si="4"/>
        <v/>
      </c>
      <c r="AO10" s="110" t="str">
        <f t="shared" si="4"/>
        <v/>
      </c>
      <c r="AP10" s="110" t="str">
        <f t="shared" si="4"/>
        <v/>
      </c>
      <c r="AQ10" s="110" t="str">
        <f t="shared" si="4"/>
        <v/>
      </c>
      <c r="AR10" s="110" t="str">
        <f t="shared" si="4"/>
        <v/>
      </c>
      <c r="AS10" s="110" t="str">
        <f t="shared" si="4"/>
        <v/>
      </c>
      <c r="AT10" s="110" t="str">
        <f t="shared" si="4"/>
        <v/>
      </c>
      <c r="AU10" s="110" t="str">
        <f t="shared" si="4"/>
        <v/>
      </c>
      <c r="AV10" s="110" t="str">
        <f t="shared" si="4"/>
        <v/>
      </c>
      <c r="AW10" s="103"/>
    </row>
    <row r="11">
      <c r="A11" s="113" t="s">
        <v>59</v>
      </c>
      <c r="B11" s="92"/>
      <c r="C11" s="92"/>
      <c r="D11" s="110" t="str">
        <f t="shared" ref="D11:AV11" si="5">if(N(D7)&gt;0,D7/12,)</f>
        <v/>
      </c>
      <c r="E11" s="110" t="str">
        <f t="shared" si="5"/>
        <v/>
      </c>
      <c r="F11" s="110" t="str">
        <f t="shared" si="5"/>
        <v/>
      </c>
      <c r="G11" s="110">
        <f t="shared" si="5"/>
        <v>6529.839573</v>
      </c>
      <c r="H11" s="110">
        <f t="shared" si="5"/>
        <v>6714.568062</v>
      </c>
      <c r="I11" s="110">
        <f t="shared" si="5"/>
        <v>6903.914764</v>
      </c>
      <c r="J11" s="110">
        <f t="shared" si="5"/>
        <v>7097.995133</v>
      </c>
      <c r="K11" s="110">
        <f t="shared" si="5"/>
        <v>7296.927511</v>
      </c>
      <c r="L11" s="110">
        <f t="shared" si="5"/>
        <v>7500.833199</v>
      </c>
      <c r="M11" s="110">
        <f t="shared" si="5"/>
        <v>7709.836529</v>
      </c>
      <c r="N11" s="110">
        <f t="shared" si="5"/>
        <v>7924.064942</v>
      </c>
      <c r="O11" s="110">
        <f t="shared" si="5"/>
        <v>8143.649066</v>
      </c>
      <c r="P11" s="110">
        <f t="shared" si="5"/>
        <v>6891.809057</v>
      </c>
      <c r="Q11" s="110">
        <f t="shared" si="5"/>
        <v>7063.433077</v>
      </c>
      <c r="R11" s="110">
        <f t="shared" si="5"/>
        <v>7238.46155</v>
      </c>
      <c r="S11" s="110">
        <f t="shared" si="5"/>
        <v>4981.133619</v>
      </c>
      <c r="T11" s="110">
        <f t="shared" si="5"/>
        <v>5102.224553</v>
      </c>
      <c r="U11" s="110">
        <f t="shared" si="5"/>
        <v>5225.345964</v>
      </c>
      <c r="V11" s="110">
        <f t="shared" si="5"/>
        <v>5350.508743</v>
      </c>
      <c r="W11" s="110">
        <f t="shared" si="5"/>
        <v>5477.722456</v>
      </c>
      <c r="X11" s="110">
        <f t="shared" si="5"/>
        <v>5606.995251</v>
      </c>
      <c r="Y11" s="110">
        <f t="shared" si="5"/>
        <v>5738.333756</v>
      </c>
      <c r="Z11" s="110">
        <f t="shared" si="5"/>
        <v>5871.742969</v>
      </c>
      <c r="AA11" s="110">
        <f t="shared" si="5"/>
        <v>6007.226146</v>
      </c>
      <c r="AB11" s="110">
        <f t="shared" si="5"/>
        <v>6144.784687</v>
      </c>
      <c r="AC11" s="110">
        <f t="shared" si="5"/>
        <v>3166.374606</v>
      </c>
      <c r="AD11" s="110">
        <f t="shared" si="5"/>
        <v>3230.128923</v>
      </c>
      <c r="AE11" s="110">
        <f t="shared" si="5"/>
        <v>3294.001595</v>
      </c>
      <c r="AF11" s="110">
        <f t="shared" si="5"/>
        <v>3357.936562</v>
      </c>
      <c r="AG11" s="110">
        <f t="shared" si="5"/>
        <v>3421.874</v>
      </c>
      <c r="AH11" s="110">
        <f t="shared" si="5"/>
        <v>3485.750135</v>
      </c>
      <c r="AI11" s="110">
        <f t="shared" si="5"/>
        <v>3549.497045</v>
      </c>
      <c r="AJ11" s="110">
        <f t="shared" si="5"/>
        <v>3613.042453</v>
      </c>
      <c r="AK11" s="110">
        <f t="shared" si="5"/>
        <v>3676.309517</v>
      </c>
      <c r="AL11" s="110">
        <f t="shared" si="5"/>
        <v>3739.216597</v>
      </c>
      <c r="AM11" s="110" t="str">
        <f t="shared" si="5"/>
        <v/>
      </c>
      <c r="AN11" s="110" t="str">
        <f t="shared" si="5"/>
        <v/>
      </c>
      <c r="AO11" s="110" t="str">
        <f t="shared" si="5"/>
        <v/>
      </c>
      <c r="AP11" s="110" t="str">
        <f t="shared" si="5"/>
        <v/>
      </c>
      <c r="AQ11" s="110" t="str">
        <f t="shared" si="5"/>
        <v/>
      </c>
      <c r="AR11" s="110" t="str">
        <f t="shared" si="5"/>
        <v/>
      </c>
      <c r="AS11" s="110" t="str">
        <f t="shared" si="5"/>
        <v/>
      </c>
      <c r="AT11" s="110" t="str">
        <f t="shared" si="5"/>
        <v/>
      </c>
      <c r="AU11" s="110" t="str">
        <f t="shared" si="5"/>
        <v/>
      </c>
      <c r="AV11" s="110" t="str">
        <f t="shared" si="5"/>
        <v/>
      </c>
      <c r="AW11" s="103"/>
    </row>
    <row r="12">
      <c r="A12" s="111" t="s">
        <v>60</v>
      </c>
      <c r="B12" s="92"/>
      <c r="C12" s="92"/>
      <c r="D12" s="112" t="str">
        <f>IF(OR(D5=1,D5=2), Income!$F$14+Income!$F$15,)</f>
        <v/>
      </c>
      <c r="E12" s="112" t="str">
        <f>IF(OR(E5=1,E5=2), Income!$F$14+Income!$F$15,)</f>
        <v/>
      </c>
      <c r="F12" s="112" t="str">
        <f>IF(OR(F5=1,F5=2), Income!$F$14+Income!$F$15,)</f>
        <v/>
      </c>
      <c r="G12" s="112">
        <f>IF(OR(G5=1,G5=2), Income!$F$14+Income!$F$15,)</f>
        <v>8699.1</v>
      </c>
      <c r="H12" s="112">
        <f>IF(OR(H5=1,H5=2), Income!$F$14+Income!$F$15,)</f>
        <v>8699.1</v>
      </c>
      <c r="I12" s="112">
        <f>IF(OR(I5=1,I5=2), Income!$F$14+Income!$F$15,)</f>
        <v>8699.1</v>
      </c>
      <c r="J12" s="112">
        <f>IF(OR(J5=1,J5=2), Income!$F$14+Income!$F$15,)</f>
        <v>8699.1</v>
      </c>
      <c r="K12" s="112">
        <f>IF(OR(K5=1,K5=2), Income!$F$14+Income!$F$15,)</f>
        <v>8699.1</v>
      </c>
      <c r="L12" s="112">
        <f>IF(OR(L5=1,L5=2), Income!$F$14+Income!$F$15,)</f>
        <v>8699.1</v>
      </c>
      <c r="M12" s="112">
        <f>IF(OR(M5=1,M5=2), Income!$F$14+Income!$F$15,)</f>
        <v>8699.1</v>
      </c>
      <c r="N12" s="112">
        <f>IF(OR(N5=1,N5=2), Income!$F$14+Income!$F$15,)</f>
        <v>8699.1</v>
      </c>
      <c r="O12" s="112">
        <f>IF(OR(O5=1,O5=2), Income!$F$14+Income!$F$15,)</f>
        <v>8699.1</v>
      </c>
      <c r="P12" s="112">
        <f>IF(OR(P5=1,P5=2), Income!$F$14+Income!$F$15,)</f>
        <v>8699.1</v>
      </c>
      <c r="Q12" s="112">
        <f>IF(OR(Q5=1,Q5=2), Income!$F$14+Income!$F$15,)</f>
        <v>8699.1</v>
      </c>
      <c r="R12" s="112">
        <f>IF(OR(R5=1,R5=2), Income!$F$14+Income!$F$15,)</f>
        <v>8699.1</v>
      </c>
      <c r="S12" s="112">
        <f>IF(OR(S5=1,S5=2), Income!$F$14+Income!$F$15,)</f>
        <v>8699.1</v>
      </c>
      <c r="T12" s="112">
        <f>IF(OR(T5=1,T5=2), Income!$F$14+Income!$F$15,)</f>
        <v>8699.1</v>
      </c>
      <c r="U12" s="112">
        <f>IF(OR(U5=1,U5=2), Income!$F$14+Income!$F$15,)</f>
        <v>8699.1</v>
      </c>
      <c r="V12" s="112">
        <f>IF(OR(V5=1,V5=2), Income!$F$14+Income!$F$15,)</f>
        <v>8699.1</v>
      </c>
      <c r="W12" s="112">
        <f>IF(OR(W5=1,W5=2), Income!$F$14+Income!$F$15,)</f>
        <v>8699.1</v>
      </c>
      <c r="X12" s="112">
        <f>IF(OR(X5=1,X5=2), Income!$F$14+Income!$F$15,)</f>
        <v>8699.1</v>
      </c>
      <c r="Y12" s="112">
        <f>IF(OR(Y5=1,Y5=2), Income!$F$14+Income!$F$15,)</f>
        <v>8699.1</v>
      </c>
      <c r="Z12" s="112">
        <f>IF(OR(Z5=1,Z5=2), Income!$F$14+Income!$F$15,)</f>
        <v>8699.1</v>
      </c>
      <c r="AA12" s="112">
        <f>IF(OR(AA5=1,AA5=2), Income!$F$14+Income!$F$15,)</f>
        <v>8699.1</v>
      </c>
      <c r="AB12" s="112">
        <f>IF(OR(AB5=1,AB5=2), Income!$F$14+Income!$F$15,)</f>
        <v>8699.1</v>
      </c>
      <c r="AC12" s="112">
        <f>IF(OR(AC5=1,AC5=2), Income!$F$14+Income!$F$15,)</f>
        <v>8699.1</v>
      </c>
      <c r="AD12" s="112">
        <f>IF(OR(AD5=1,AD5=2), Income!$F$14+Income!$F$15,)</f>
        <v>8699.1</v>
      </c>
      <c r="AE12" s="112">
        <f>IF(OR(AE5=1,AE5=2), Income!$F$14+Income!$F$15,)</f>
        <v>8699.1</v>
      </c>
      <c r="AF12" s="112">
        <f>IF(OR(AF5=1,AF5=2), Income!$F$14+Income!$F$15,)</f>
        <v>8699.1</v>
      </c>
      <c r="AG12" s="112">
        <f>IF(OR(AG5=1,AG5=2), Income!$F$14+Income!$F$15,)</f>
        <v>8699.1</v>
      </c>
      <c r="AH12" s="112">
        <f>IF(OR(AH5=1,AH5=2), Income!$F$14+Income!$F$15,)</f>
        <v>8699.1</v>
      </c>
      <c r="AI12" s="112">
        <f>IF(OR(AI5=1,AI5=2), Income!$F$14+Income!$F$15,)</f>
        <v>8699.1</v>
      </c>
      <c r="AJ12" s="112">
        <f>IF(OR(AJ5=1,AJ5=2), Income!$F$14+Income!$F$15,)</f>
        <v>8699.1</v>
      </c>
      <c r="AK12" s="112">
        <f>IF(OR(AK5=1,AK5=2), Income!$F$14+Income!$F$15,)</f>
        <v>8699.1</v>
      </c>
      <c r="AL12" s="112">
        <f>IF(OR(AL5=1,AL5=2), Income!$F$14+Income!$F$15,)</f>
        <v>8699.1</v>
      </c>
      <c r="AM12" s="112" t="str">
        <f>IF(OR(AM5=1,AM5=2), Income!$F$14+Income!$F$15,)</f>
        <v/>
      </c>
      <c r="AN12" s="112" t="str">
        <f>IF(OR(AN5=1,AN5=2), Income!$F$14+Income!$F$15,)</f>
        <v/>
      </c>
      <c r="AO12" s="112" t="str">
        <f>IF(OR(AO5=1,AO5=2), Income!$F$14+Income!$F$15,)</f>
        <v/>
      </c>
      <c r="AP12" s="112" t="str">
        <f>IF(OR(AP5=1,AP5=2), Income!$F$14+Income!$F$15,)</f>
        <v/>
      </c>
      <c r="AQ12" s="112" t="str">
        <f>IF(OR(AQ5=1,AQ5=2), Income!$F$14+Income!$F$15,)</f>
        <v/>
      </c>
      <c r="AR12" s="112" t="str">
        <f>IF(OR(AR5=1,AR5=2), Income!$F$14+Income!$F$15,)</f>
        <v/>
      </c>
      <c r="AS12" s="112" t="str">
        <f>IF(OR(AS5=1,AS5=2), Income!$F$14+Income!$F$15,)</f>
        <v/>
      </c>
      <c r="AT12" s="112" t="str">
        <f>IF(OR(AT5=1,AT5=2), Income!$F$14+Income!$F$15,)</f>
        <v/>
      </c>
      <c r="AU12" s="112" t="str">
        <f>IF(OR(AU5=1,AU5=2), Income!$F$14+Income!$F$15,)</f>
        <v/>
      </c>
      <c r="AV12" s="112" t="str">
        <f>IF(OR(AV5=1,AV5=2), Income!$F$14+Income!$F$15,)</f>
        <v/>
      </c>
      <c r="AW12" s="103"/>
    </row>
    <row r="13">
      <c r="A13" s="113" t="s">
        <v>61</v>
      </c>
      <c r="B13" s="92"/>
      <c r="C13" s="92"/>
      <c r="D13" s="112" t="str">
        <f t="shared" ref="D13:AV13" si="6">if(D12&gt;0,D12/12,)</f>
        <v/>
      </c>
      <c r="E13" s="112" t="str">
        <f t="shared" si="6"/>
        <v/>
      </c>
      <c r="F13" s="112" t="str">
        <f t="shared" si="6"/>
        <v/>
      </c>
      <c r="G13" s="112">
        <f t="shared" si="6"/>
        <v>724.925</v>
      </c>
      <c r="H13" s="112">
        <f t="shared" si="6"/>
        <v>724.925</v>
      </c>
      <c r="I13" s="112">
        <f t="shared" si="6"/>
        <v>724.925</v>
      </c>
      <c r="J13" s="112">
        <f t="shared" si="6"/>
        <v>724.925</v>
      </c>
      <c r="K13" s="112">
        <f t="shared" si="6"/>
        <v>724.925</v>
      </c>
      <c r="L13" s="112">
        <f t="shared" si="6"/>
        <v>724.925</v>
      </c>
      <c r="M13" s="112">
        <f t="shared" si="6"/>
        <v>724.925</v>
      </c>
      <c r="N13" s="112">
        <f t="shared" si="6"/>
        <v>724.925</v>
      </c>
      <c r="O13" s="112">
        <f t="shared" si="6"/>
        <v>724.925</v>
      </c>
      <c r="P13" s="112">
        <f t="shared" si="6"/>
        <v>724.925</v>
      </c>
      <c r="Q13" s="112">
        <f t="shared" si="6"/>
        <v>724.925</v>
      </c>
      <c r="R13" s="112">
        <f t="shared" si="6"/>
        <v>724.925</v>
      </c>
      <c r="S13" s="112">
        <f t="shared" si="6"/>
        <v>724.925</v>
      </c>
      <c r="T13" s="112">
        <f t="shared" si="6"/>
        <v>724.925</v>
      </c>
      <c r="U13" s="112">
        <f t="shared" si="6"/>
        <v>724.925</v>
      </c>
      <c r="V13" s="112">
        <f t="shared" si="6"/>
        <v>724.925</v>
      </c>
      <c r="W13" s="112">
        <f t="shared" si="6"/>
        <v>724.925</v>
      </c>
      <c r="X13" s="112">
        <f t="shared" si="6"/>
        <v>724.925</v>
      </c>
      <c r="Y13" s="112">
        <f t="shared" si="6"/>
        <v>724.925</v>
      </c>
      <c r="Z13" s="112">
        <f t="shared" si="6"/>
        <v>724.925</v>
      </c>
      <c r="AA13" s="112">
        <f t="shared" si="6"/>
        <v>724.925</v>
      </c>
      <c r="AB13" s="112">
        <f t="shared" si="6"/>
        <v>724.925</v>
      </c>
      <c r="AC13" s="112">
        <f t="shared" si="6"/>
        <v>724.925</v>
      </c>
      <c r="AD13" s="112">
        <f t="shared" si="6"/>
        <v>724.925</v>
      </c>
      <c r="AE13" s="112">
        <f t="shared" si="6"/>
        <v>724.925</v>
      </c>
      <c r="AF13" s="112">
        <f t="shared" si="6"/>
        <v>724.925</v>
      </c>
      <c r="AG13" s="112">
        <f t="shared" si="6"/>
        <v>724.925</v>
      </c>
      <c r="AH13" s="112">
        <f t="shared" si="6"/>
        <v>724.925</v>
      </c>
      <c r="AI13" s="112">
        <f t="shared" si="6"/>
        <v>724.925</v>
      </c>
      <c r="AJ13" s="112">
        <f t="shared" si="6"/>
        <v>724.925</v>
      </c>
      <c r="AK13" s="112">
        <f t="shared" si="6"/>
        <v>724.925</v>
      </c>
      <c r="AL13" s="112">
        <f t="shared" si="6"/>
        <v>724.925</v>
      </c>
      <c r="AM13" s="112" t="str">
        <f t="shared" si="6"/>
        <v/>
      </c>
      <c r="AN13" s="112" t="str">
        <f t="shared" si="6"/>
        <v/>
      </c>
      <c r="AO13" s="112" t="str">
        <f t="shared" si="6"/>
        <v/>
      </c>
      <c r="AP13" s="112" t="str">
        <f t="shared" si="6"/>
        <v/>
      </c>
      <c r="AQ13" s="112" t="str">
        <f t="shared" si="6"/>
        <v/>
      </c>
      <c r="AR13" s="112" t="str">
        <f t="shared" si="6"/>
        <v/>
      </c>
      <c r="AS13" s="112" t="str">
        <f t="shared" si="6"/>
        <v/>
      </c>
      <c r="AT13" s="112" t="str">
        <f t="shared" si="6"/>
        <v/>
      </c>
      <c r="AU13" s="112" t="str">
        <f t="shared" si="6"/>
        <v/>
      </c>
      <c r="AV13" s="112" t="str">
        <f t="shared" si="6"/>
        <v/>
      </c>
      <c r="AW13" s="103"/>
    </row>
    <row r="14">
      <c r="A14" s="111" t="s">
        <v>62</v>
      </c>
      <c r="B14" s="92"/>
      <c r="C14" s="92"/>
      <c r="D14" s="112" t="str">
        <f>if(D5=0,,
if(D5=1,Income!$D$18,
if(D5=2,C14*(1+Income!$E$18),
if(D5=3,,))))</f>
        <v/>
      </c>
      <c r="E14" s="112" t="str">
        <f>if(E5=0,,
if(E5=1,Income!$D$18,
if(E5=2,D14*(1+Income!$E$18),
if(E5=3,,))))</f>
        <v/>
      </c>
      <c r="F14" s="112" t="str">
        <f>if(F5=0,,
if(F5=1,Income!$D$18,
if(F5=2,E14*(1+Income!$E$18),
if(F5=3,,))))</f>
        <v/>
      </c>
      <c r="G14" s="112">
        <f>if(G5=0,,
if(G5=1,Income!$D$18,
if(G5=2,F14*(1+Income!$E$18),
if(G5=3,,))))</f>
        <v>20000</v>
      </c>
      <c r="H14" s="112">
        <f>if(H5=0,,
if(H5=1,Income!$D$18,
if(H5=2,G14*(1+Income!$E$18),
if(H5=3,,))))</f>
        <v>20500</v>
      </c>
      <c r="I14" s="112">
        <f>if(I5=0,,
if(I5=1,Income!$D$18,
if(I5=2,H14*(1+Income!$E$18),
if(I5=3,,))))</f>
        <v>21012.5</v>
      </c>
      <c r="J14" s="112">
        <f>if(J5=0,,
if(J5=1,Income!$D$18,
if(J5=2,I14*(1+Income!$E$18),
if(J5=3,,))))</f>
        <v>21537.8125</v>
      </c>
      <c r="K14" s="112">
        <f>if(K5=0,,
if(K5=1,Income!$D$18,
if(K5=2,J14*(1+Income!$E$18),
if(K5=3,,))))</f>
        <v>22076.25781</v>
      </c>
      <c r="L14" s="112">
        <f>if(L5=0,,
if(L5=1,Income!$D$18,
if(L5=2,K14*(1+Income!$E$18),
if(L5=3,,))))</f>
        <v>22628.16426</v>
      </c>
      <c r="M14" s="112">
        <f>if(M5=0,,
if(M5=1,Income!$D$18,
if(M5=2,L14*(1+Income!$E$18),
if(M5=3,,))))</f>
        <v>23193.86836</v>
      </c>
      <c r="N14" s="112">
        <f>if(N5=0,,
if(N5=1,Income!$D$18,
if(N5=2,M14*(1+Income!$E$18),
if(N5=3,,))))</f>
        <v>23773.71507</v>
      </c>
      <c r="O14" s="112">
        <f>if(O5=0,,
if(O5=1,Income!$D$18,
if(O5=2,N14*(1+Income!$E$18),
if(O5=3,,))))</f>
        <v>24368.05795</v>
      </c>
      <c r="P14" s="112">
        <f>if(P5=0,,
if(P5=1,Income!$D$18,
if(P5=2,O14*(1+Income!$E$18),
if(P5=3,,))))</f>
        <v>24977.2594</v>
      </c>
      <c r="Q14" s="112">
        <f>if(Q5=0,,
if(Q5=1,Income!$D$18,
if(Q5=2,P14*(1+Income!$E$18),
if(Q5=3,,))))</f>
        <v>25601.69088</v>
      </c>
      <c r="R14" s="112">
        <f>if(R5=0,,
if(R5=1,Income!$D$18,
if(R5=2,Q14*(1+Income!$E$18),
if(R5=3,,))))</f>
        <v>26241.73316</v>
      </c>
      <c r="S14" s="112">
        <f>if(S5=0,,
if(S5=1,Income!$D$18,
if(S5=2,R14*(1+Income!$E$18),
if(S5=3,,))))</f>
        <v>26897.77648</v>
      </c>
      <c r="T14" s="112">
        <f>if(T5=0,,
if(T5=1,Income!$D$18,
if(T5=2,S14*(1+Income!$E$18),
if(T5=3,,))))</f>
        <v>27570.2209</v>
      </c>
      <c r="U14" s="112">
        <f>if(U5=0,,
if(U5=1,Income!$D$18,
if(U5=2,T14*(1+Income!$E$18),
if(U5=3,,))))</f>
        <v>28259.47642</v>
      </c>
      <c r="V14" s="112">
        <f>if(V5=0,,
if(V5=1,Income!$D$18,
if(V5=2,U14*(1+Income!$E$18),
if(V5=3,,))))</f>
        <v>28965.96333</v>
      </c>
      <c r="W14" s="112">
        <f>if(W5=0,,
if(W5=1,Income!$D$18,
if(W5=2,V14*(1+Income!$E$18),
if(W5=3,,))))</f>
        <v>29690.11241</v>
      </c>
      <c r="X14" s="112">
        <f>if(X5=0,,
if(X5=1,Income!$D$18,
if(X5=2,W14*(1+Income!$E$18),
if(X5=3,,))))</f>
        <v>30432.36522</v>
      </c>
      <c r="Y14" s="112">
        <f>if(Y5=0,,
if(Y5=1,Income!$D$18,
if(Y5=2,X14*(1+Income!$E$18),
if(Y5=3,,))))</f>
        <v>31193.17435</v>
      </c>
      <c r="Z14" s="112">
        <f>if(Z5=0,,
if(Z5=1,Income!$D$18,
if(Z5=2,Y14*(1+Income!$E$18),
if(Z5=3,,))))</f>
        <v>31973.00371</v>
      </c>
      <c r="AA14" s="112">
        <f>if(AA5=0,,
if(AA5=1,Income!$D$18,
if(AA5=2,Z14*(1+Income!$E$18),
if(AA5=3,,))))</f>
        <v>32772.32881</v>
      </c>
      <c r="AB14" s="112">
        <f>if(AB5=0,,
if(AB5=1,Income!$D$18,
if(AB5=2,AA14*(1+Income!$E$18),
if(AB5=3,,))))</f>
        <v>33591.63703</v>
      </c>
      <c r="AC14" s="112">
        <f>if(AC5=0,,
if(AC5=1,Income!$D$18,
if(AC5=2,AB14*(1+Income!$E$18),
if(AC5=3,,))))</f>
        <v>34431.42795</v>
      </c>
      <c r="AD14" s="112">
        <f>if(AD5=0,,
if(AD5=1,Income!$D$18,
if(AD5=2,AC14*(1+Income!$E$18),
if(AD5=3,,))))</f>
        <v>35292.21365</v>
      </c>
      <c r="AE14" s="112">
        <f>if(AE5=0,,
if(AE5=1,Income!$D$18,
if(AE5=2,AD14*(1+Income!$E$18),
if(AE5=3,,))))</f>
        <v>36174.51899</v>
      </c>
      <c r="AF14" s="112">
        <f>if(AF5=0,,
if(AF5=1,Income!$D$18,
if(AF5=2,AE14*(1+Income!$E$18),
if(AF5=3,,))))</f>
        <v>37078.88197</v>
      </c>
      <c r="AG14" s="112">
        <f>if(AG5=0,,
if(AG5=1,Income!$D$18,
if(AG5=2,AF14*(1+Income!$E$18),
if(AG5=3,,))))</f>
        <v>38005.85402</v>
      </c>
      <c r="AH14" s="112">
        <f>if(AH5=0,,
if(AH5=1,Income!$D$18,
if(AH5=2,AG14*(1+Income!$E$18),
if(AH5=3,,))))</f>
        <v>38956.00037</v>
      </c>
      <c r="AI14" s="112">
        <f>if(AI5=0,,
if(AI5=1,Income!$D$18,
if(AI5=2,AH14*(1+Income!$E$18),
if(AI5=3,,))))</f>
        <v>39929.90038</v>
      </c>
      <c r="AJ14" s="112">
        <f>if(AJ5=0,,
if(AJ5=1,Income!$D$18,
if(AJ5=2,AI14*(1+Income!$E$18),
if(AJ5=3,,))))</f>
        <v>40928.14788</v>
      </c>
      <c r="AK14" s="112">
        <f>if(AK5=0,,
if(AK5=1,Income!$D$18,
if(AK5=2,AJ14*(1+Income!$E$18),
if(AK5=3,,))))</f>
        <v>41951.35158</v>
      </c>
      <c r="AL14" s="112">
        <f>if(AL5=0,,
if(AL5=1,Income!$D$18,
if(AL5=2,AK14*(1+Income!$E$18),
if(AL5=3,,))))</f>
        <v>43000.13537</v>
      </c>
      <c r="AM14" s="112" t="str">
        <f>if(AM5=0,,
if(AM5=1,Income!$D$18,
if(AM5=2,AL14*(1+Income!$E$18),
if(AM5=3,,))))</f>
        <v/>
      </c>
      <c r="AN14" s="112" t="str">
        <f>if(AN5=0,,
if(AN5=1,Income!$D$18,
if(AN5=2,AM14*(1+Income!$E$18),
if(AN5=3,,))))</f>
        <v/>
      </c>
      <c r="AO14" s="112" t="str">
        <f>if(AO5=0,,
if(AO5=1,Income!$D$18,
if(AO5=2,AN14*(1+Income!$E$18),
if(AO5=3,,))))</f>
        <v/>
      </c>
      <c r="AP14" s="112" t="str">
        <f>if(AP5=0,,
if(AP5=1,Income!$D$18,
if(AP5=2,AO14*(1+Income!$E$18),
if(AP5=3,,))))</f>
        <v/>
      </c>
      <c r="AQ14" s="112" t="str">
        <f>if(AQ5=0,,
if(AQ5=1,Income!$D$18,
if(AQ5=2,AP14*(1+Income!$E$18),
if(AQ5=3,,))))</f>
        <v/>
      </c>
      <c r="AR14" s="112" t="str">
        <f>if(AR5=0,,
if(AR5=1,Income!$D$18,
if(AR5=2,AQ14*(1+Income!$E$18),
if(AR5=3,,))))</f>
        <v/>
      </c>
      <c r="AS14" s="112" t="str">
        <f>if(AS5=0,,
if(AS5=1,Income!$D$18,
if(AS5=2,AR14*(1+Income!$E$18),
if(AS5=3,,))))</f>
        <v/>
      </c>
      <c r="AT14" s="112" t="str">
        <f>if(AT5=0,,
if(AT5=1,Income!$D$18,
if(AT5=2,AS14*(1+Income!$E$18),
if(AT5=3,,))))</f>
        <v/>
      </c>
      <c r="AU14" s="112" t="str">
        <f>if(AU5=0,,
if(AU5=1,Income!$D$18,
if(AU5=2,AT14*(1+Income!$E$18),
if(AU5=3,,))))</f>
        <v/>
      </c>
      <c r="AV14" s="112" t="str">
        <f>if(AV5=0,,
if(AV5=1,Income!$D$18,
if(AV5=2,AU14*(1+Income!$E$18),
if(AV5=3,,))))</f>
        <v/>
      </c>
      <c r="AW14" s="103"/>
    </row>
    <row r="15">
      <c r="A15" s="113" t="s">
        <v>63</v>
      </c>
      <c r="B15" s="92"/>
      <c r="C15" s="92"/>
      <c r="D15" s="110" t="str">
        <f t="shared" ref="D15:AV15" si="7">if(D14&gt;0,D14/12,)</f>
        <v/>
      </c>
      <c r="E15" s="110" t="str">
        <f t="shared" si="7"/>
        <v/>
      </c>
      <c r="F15" s="110" t="str">
        <f t="shared" si="7"/>
        <v/>
      </c>
      <c r="G15" s="110">
        <f t="shared" si="7"/>
        <v>1666.666667</v>
      </c>
      <c r="H15" s="110">
        <f t="shared" si="7"/>
        <v>1708.333333</v>
      </c>
      <c r="I15" s="110">
        <f t="shared" si="7"/>
        <v>1751.041667</v>
      </c>
      <c r="J15" s="110">
        <f t="shared" si="7"/>
        <v>1794.817708</v>
      </c>
      <c r="K15" s="110">
        <f t="shared" si="7"/>
        <v>1839.688151</v>
      </c>
      <c r="L15" s="110">
        <f t="shared" si="7"/>
        <v>1885.680355</v>
      </c>
      <c r="M15" s="110">
        <f t="shared" si="7"/>
        <v>1932.822364</v>
      </c>
      <c r="N15" s="110">
        <f t="shared" si="7"/>
        <v>1981.142923</v>
      </c>
      <c r="O15" s="110">
        <f t="shared" si="7"/>
        <v>2030.671496</v>
      </c>
      <c r="P15" s="110">
        <f t="shared" si="7"/>
        <v>2081.438283</v>
      </c>
      <c r="Q15" s="110">
        <f t="shared" si="7"/>
        <v>2133.47424</v>
      </c>
      <c r="R15" s="110">
        <f t="shared" si="7"/>
        <v>2186.811096</v>
      </c>
      <c r="S15" s="110">
        <f t="shared" si="7"/>
        <v>2241.481374</v>
      </c>
      <c r="T15" s="110">
        <f t="shared" si="7"/>
        <v>2297.518408</v>
      </c>
      <c r="U15" s="110">
        <f t="shared" si="7"/>
        <v>2354.956368</v>
      </c>
      <c r="V15" s="110">
        <f t="shared" si="7"/>
        <v>2413.830277</v>
      </c>
      <c r="W15" s="110">
        <f t="shared" si="7"/>
        <v>2474.176034</v>
      </c>
      <c r="X15" s="110">
        <f t="shared" si="7"/>
        <v>2536.030435</v>
      </c>
      <c r="Y15" s="110">
        <f t="shared" si="7"/>
        <v>2599.431196</v>
      </c>
      <c r="Z15" s="110">
        <f t="shared" si="7"/>
        <v>2664.416976</v>
      </c>
      <c r="AA15" s="110">
        <f t="shared" si="7"/>
        <v>2731.0274</v>
      </c>
      <c r="AB15" s="110">
        <f t="shared" si="7"/>
        <v>2799.303085</v>
      </c>
      <c r="AC15" s="110">
        <f t="shared" si="7"/>
        <v>2869.285663</v>
      </c>
      <c r="AD15" s="110">
        <f t="shared" si="7"/>
        <v>2941.017804</v>
      </c>
      <c r="AE15" s="110">
        <f t="shared" si="7"/>
        <v>3014.543249</v>
      </c>
      <c r="AF15" s="110">
        <f t="shared" si="7"/>
        <v>3089.906831</v>
      </c>
      <c r="AG15" s="110">
        <f t="shared" si="7"/>
        <v>3167.154501</v>
      </c>
      <c r="AH15" s="110">
        <f t="shared" si="7"/>
        <v>3246.333364</v>
      </c>
      <c r="AI15" s="110">
        <f t="shared" si="7"/>
        <v>3327.491698</v>
      </c>
      <c r="AJ15" s="110">
        <f t="shared" si="7"/>
        <v>3410.67899</v>
      </c>
      <c r="AK15" s="110">
        <f t="shared" si="7"/>
        <v>3495.945965</v>
      </c>
      <c r="AL15" s="110">
        <f t="shared" si="7"/>
        <v>3583.344614</v>
      </c>
      <c r="AM15" s="110" t="str">
        <f t="shared" si="7"/>
        <v/>
      </c>
      <c r="AN15" s="110" t="str">
        <f t="shared" si="7"/>
        <v/>
      </c>
      <c r="AO15" s="110" t="str">
        <f t="shared" si="7"/>
        <v/>
      </c>
      <c r="AP15" s="110" t="str">
        <f t="shared" si="7"/>
        <v/>
      </c>
      <c r="AQ15" s="110" t="str">
        <f t="shared" si="7"/>
        <v/>
      </c>
      <c r="AR15" s="110" t="str">
        <f t="shared" si="7"/>
        <v/>
      </c>
      <c r="AS15" s="110" t="str">
        <f t="shared" si="7"/>
        <v/>
      </c>
      <c r="AT15" s="110" t="str">
        <f t="shared" si="7"/>
        <v/>
      </c>
      <c r="AU15" s="110" t="str">
        <f t="shared" si="7"/>
        <v/>
      </c>
      <c r="AV15" s="110" t="str">
        <f t="shared" si="7"/>
        <v/>
      </c>
      <c r="AW15" s="103"/>
    </row>
    <row r="16">
      <c r="A16" s="111" t="s">
        <v>64</v>
      </c>
      <c r="B16" s="92"/>
      <c r="C16" s="92"/>
      <c r="D16" s="92"/>
      <c r="E16" s="92"/>
      <c r="F16" s="92"/>
      <c r="G16" s="92"/>
      <c r="H16" s="92"/>
      <c r="I16" s="92"/>
      <c r="J16" s="92"/>
      <c r="K16" s="92"/>
      <c r="L16" s="92"/>
      <c r="M16" s="92"/>
      <c r="N16" s="92"/>
      <c r="O16" s="92"/>
      <c r="P16" s="112">
        <f>Income!$D$21</f>
        <v>17722.96482</v>
      </c>
      <c r="Q16" s="112">
        <f>IF(Q5&lt;3,P16*(1+'Person 1 Calculator'!$F$19),)</f>
        <v>18431.88342</v>
      </c>
      <c r="R16" s="112">
        <f>IF(R5&lt;3,Q16*(1+'Person 1 Calculator'!$F$19),)</f>
        <v>19169.15875</v>
      </c>
      <c r="S16" s="112">
        <f>IF(S5&lt;3,R16*(1+'Person 1 Calculator'!$F$19),)</f>
        <v>19935.9251</v>
      </c>
      <c r="T16" s="112">
        <f>IF(T5&lt;3,S16*(1+'Person 1 Calculator'!$F$19),)</f>
        <v>20733.36211</v>
      </c>
      <c r="U16" s="112">
        <f>IF(U5&lt;3,T16*(1+'Person 1 Calculator'!$F$19),)</f>
        <v>21562.69659</v>
      </c>
      <c r="V16" s="112">
        <f>IF(V5&lt;3,U16*(1+'Person 1 Calculator'!$F$19),)</f>
        <v>22425.20446</v>
      </c>
      <c r="W16" s="112">
        <f>IF(W5&lt;3,V16*(1+'Person 1 Calculator'!$F$19),)</f>
        <v>23322.21263</v>
      </c>
      <c r="X16" s="112">
        <f>IF(X5&lt;3,W16*(1+'Person 1 Calculator'!$F$19),)</f>
        <v>24255.10114</v>
      </c>
      <c r="Y16" s="112">
        <f>IF(Y5&lt;3,X16*(1+'Person 1 Calculator'!$F$19),)</f>
        <v>25225.30518</v>
      </c>
      <c r="Z16" s="112">
        <f>IF(Z5&lt;3,Y16*(1+'Person 1 Calculator'!$F$19),)</f>
        <v>26234.31739</v>
      </c>
      <c r="AA16" s="112">
        <f>IF(AA5&lt;3,Z16*(1+'Person 1 Calculator'!$F$19),)</f>
        <v>27283.69009</v>
      </c>
      <c r="AB16" s="112">
        <f>IF(AB5&lt;3,AA16*(1+'Person 1 Calculator'!$F$19),)</f>
        <v>28375.03769</v>
      </c>
      <c r="AC16" s="112">
        <f>IF(AC5&lt;3,AB16*(1+'Person 1 Calculator'!$F$19),)</f>
        <v>29510.0392</v>
      </c>
      <c r="AD16" s="112">
        <f>IF(AD5&lt;3,AC16*(1+'Person 1 Calculator'!$F$19),)</f>
        <v>30690.44077</v>
      </c>
      <c r="AE16" s="112">
        <f>IF(AE5&lt;3,AD16*(1+'Person 1 Calculator'!$F$19),)</f>
        <v>31918.0584</v>
      </c>
      <c r="AF16" s="112">
        <f>IF(AF5&lt;3,AE16*(1+'Person 1 Calculator'!$F$19),)</f>
        <v>33194.78073</v>
      </c>
      <c r="AG16" s="112">
        <f>IF(AG5&lt;3,AF16*(1+'Person 1 Calculator'!$F$19),)</f>
        <v>34522.57196</v>
      </c>
      <c r="AH16" s="112">
        <f>IF(AH5&lt;3,AG16*(1+'Person 1 Calculator'!$F$19),)</f>
        <v>35903.47484</v>
      </c>
      <c r="AI16" s="112">
        <f>IF(AI5&lt;3,AH16*(1+'Person 1 Calculator'!$F$19),)</f>
        <v>37339.61383</v>
      </c>
      <c r="AJ16" s="112">
        <f>IF(AJ5&lt;3,AI16*(1+'Person 1 Calculator'!$F$19),)</f>
        <v>38833.19839</v>
      </c>
      <c r="AK16" s="112">
        <f>IF(AK5&lt;3,AJ16*(1+'Person 1 Calculator'!$F$19),)</f>
        <v>40386.52632</v>
      </c>
      <c r="AL16" s="112">
        <f>IF(AL5&lt;3,AK16*(1+'Person 1 Calculator'!$F$19),)</f>
        <v>42001.98738</v>
      </c>
      <c r="AM16" s="112" t="str">
        <f>IF(AM5&lt;3,AL16*(1+'Person 1 Calculator'!$F$19),)</f>
        <v/>
      </c>
      <c r="AN16" s="112" t="str">
        <f>IF(AN5&lt;3,AM16*(1+'Person 1 Calculator'!$F$19),)</f>
        <v/>
      </c>
      <c r="AO16" s="112" t="str">
        <f>IF(AO5&lt;3,AN16*(1+'Person 1 Calculator'!$F$19),)</f>
        <v/>
      </c>
      <c r="AP16" s="112" t="str">
        <f>IF(AP5&lt;3,AO16*(1+'Person 1 Calculator'!$F$19),)</f>
        <v/>
      </c>
      <c r="AQ16" s="112" t="str">
        <f>IF(AQ5&lt;3,AP16*(1+'Person 1 Calculator'!$F$19),)</f>
        <v/>
      </c>
      <c r="AR16" s="112" t="str">
        <f>IF(AR5&lt;3,AQ16*(1+'Person 1 Calculator'!$F$19),)</f>
        <v/>
      </c>
      <c r="AS16" s="112" t="str">
        <f>IF(AS5&lt;3,AR16*(1+'Person 1 Calculator'!$F$19),)</f>
        <v/>
      </c>
      <c r="AT16" s="112" t="str">
        <f>IF(AT5&lt;3,AS16*(1+'Person 1 Calculator'!$F$19),)</f>
        <v/>
      </c>
      <c r="AU16" s="112" t="str">
        <f>IF(AU5&lt;3,AT16*(1+'Person 1 Calculator'!$F$19),)</f>
        <v/>
      </c>
      <c r="AV16" s="112" t="str">
        <f>IF(AV5&lt;3,AU16*(1+'Person 1 Calculator'!$F$19),)</f>
        <v/>
      </c>
      <c r="AW16" s="103"/>
    </row>
    <row r="17">
      <c r="A17" s="113" t="s">
        <v>65</v>
      </c>
      <c r="B17" s="92"/>
      <c r="C17" s="92"/>
      <c r="D17" s="92"/>
      <c r="E17" s="92"/>
      <c r="F17" s="92"/>
      <c r="G17" s="92"/>
      <c r="H17" s="92"/>
      <c r="I17" s="92"/>
      <c r="J17" s="92"/>
      <c r="K17" s="92"/>
      <c r="L17" s="92"/>
      <c r="M17" s="92"/>
      <c r="N17" s="92"/>
      <c r="O17" s="92"/>
      <c r="P17" s="114">
        <f t="shared" ref="P17:AV17" si="8">if(P16&gt;0,P16/12,)</f>
        <v>1476.913735</v>
      </c>
      <c r="Q17" s="114">
        <f t="shared" si="8"/>
        <v>1535.990285</v>
      </c>
      <c r="R17" s="114">
        <f t="shared" si="8"/>
        <v>1597.429896</v>
      </c>
      <c r="S17" s="114">
        <f t="shared" si="8"/>
        <v>1661.327092</v>
      </c>
      <c r="T17" s="114">
        <f t="shared" si="8"/>
        <v>1727.780176</v>
      </c>
      <c r="U17" s="114">
        <f t="shared" si="8"/>
        <v>1796.891383</v>
      </c>
      <c r="V17" s="114">
        <f t="shared" si="8"/>
        <v>1868.767038</v>
      </c>
      <c r="W17" s="114">
        <f t="shared" si="8"/>
        <v>1943.517719</v>
      </c>
      <c r="X17" s="114">
        <f t="shared" si="8"/>
        <v>2021.258428</v>
      </c>
      <c r="Y17" s="114">
        <f t="shared" si="8"/>
        <v>2102.108765</v>
      </c>
      <c r="Z17" s="114">
        <f t="shared" si="8"/>
        <v>2186.193116</v>
      </c>
      <c r="AA17" s="114">
        <f t="shared" si="8"/>
        <v>2273.640841</v>
      </c>
      <c r="AB17" s="114">
        <f t="shared" si="8"/>
        <v>2364.586474</v>
      </c>
      <c r="AC17" s="114">
        <f t="shared" si="8"/>
        <v>2459.169933</v>
      </c>
      <c r="AD17" s="114">
        <f t="shared" si="8"/>
        <v>2557.536731</v>
      </c>
      <c r="AE17" s="114">
        <f t="shared" si="8"/>
        <v>2659.8382</v>
      </c>
      <c r="AF17" s="114">
        <f t="shared" si="8"/>
        <v>2766.231728</v>
      </c>
      <c r="AG17" s="114">
        <f t="shared" si="8"/>
        <v>2876.880997</v>
      </c>
      <c r="AH17" s="114">
        <f t="shared" si="8"/>
        <v>2991.956237</v>
      </c>
      <c r="AI17" s="114">
        <f t="shared" si="8"/>
        <v>3111.634486</v>
      </c>
      <c r="AJ17" s="114">
        <f t="shared" si="8"/>
        <v>3236.099866</v>
      </c>
      <c r="AK17" s="114">
        <f t="shared" si="8"/>
        <v>3365.54386</v>
      </c>
      <c r="AL17" s="114">
        <f t="shared" si="8"/>
        <v>3500.165615</v>
      </c>
      <c r="AM17" s="114" t="str">
        <f t="shared" si="8"/>
        <v/>
      </c>
      <c r="AN17" s="114" t="str">
        <f t="shared" si="8"/>
        <v/>
      </c>
      <c r="AO17" s="114" t="str">
        <f t="shared" si="8"/>
        <v/>
      </c>
      <c r="AP17" s="114" t="str">
        <f t="shared" si="8"/>
        <v/>
      </c>
      <c r="AQ17" s="114" t="str">
        <f t="shared" si="8"/>
        <v/>
      </c>
      <c r="AR17" s="114" t="str">
        <f t="shared" si="8"/>
        <v/>
      </c>
      <c r="AS17" s="114" t="str">
        <f t="shared" si="8"/>
        <v/>
      </c>
      <c r="AT17" s="114" t="str">
        <f t="shared" si="8"/>
        <v/>
      </c>
      <c r="AU17" s="114" t="str">
        <f t="shared" si="8"/>
        <v/>
      </c>
      <c r="AV17" s="114" t="str">
        <f t="shared" si="8"/>
        <v/>
      </c>
      <c r="AW17" s="103"/>
    </row>
    <row r="18">
      <c r="A18" s="111" t="s">
        <v>66</v>
      </c>
      <c r="B18" s="92"/>
      <c r="C18" s="92"/>
      <c r="D18" s="112" t="str">
        <f>IFERROR(__xludf.DUMMYFUNCTION("IF(
  OR(D5=1, D5=2),
  SUM(
    FILTER(
      Income!$D$6:$D$8,
      D4 &gt;= Income!$F$6:$F$8
    )
  )
,)"),"")</f>
        <v/>
      </c>
      <c r="E18" s="112" t="str">
        <f>IFERROR(__xludf.DUMMYFUNCTION("IF(
  OR(E5=1, E5=2),
  SUM(
    FILTER(
      Income!$D$6:$D$8,
      E4 &gt;= Income!$F$6:$F$8
    )
  )
,)"),"")</f>
        <v/>
      </c>
      <c r="F18" s="112" t="str">
        <f>IFERROR(__xludf.DUMMYFUNCTION("IF(
  OR(F5=1, F5=2),
  SUM(
    FILTER(
      Income!$D$6:$D$8,
      F4 &gt;= Income!$F$6:$F$8
    )
  )
,)"),"")</f>
        <v/>
      </c>
      <c r="G18" s="112">
        <f>IFERROR(__xludf.DUMMYFUNCTION("IF(
  OR(G5=1, G5=2),
  SUM(
    FILTER(
      Income!$D$6:$D$8,
      G4 &gt;= Income!$F$6:$F$8
    )
  )
,)"),0.0)</f>
        <v>0</v>
      </c>
      <c r="H18" s="112">
        <f>IFERROR(__xludf.DUMMYFUNCTION("IF(
  OR(H5=1, H5=2),
  SUM(
    FILTER(
      Income!$D$6:$D$8,
      H4 &gt;= Income!$F$6:$F$8
    )
  )
,)"),0.0)</f>
        <v>0</v>
      </c>
      <c r="I18" s="112">
        <f>IFERROR(__xludf.DUMMYFUNCTION("IF(
  OR(I5=1, I5=2),
  SUM(
    FILTER(
      Income!$D$6:$D$8,
      I4 &gt;= Income!$F$6:$F$8
    )
  )
,)"),0.0)</f>
        <v>0</v>
      </c>
      <c r="J18" s="112">
        <f>IFERROR(__xludf.DUMMYFUNCTION("IF(
  OR(J5=1, J5=2),
  SUM(
    FILTER(
      Income!$D$6:$D$8,
      J4 &gt;= Income!$F$6:$F$8
    )
  )
,)"),0.0)</f>
        <v>0</v>
      </c>
      <c r="K18" s="112">
        <f>IFERROR(__xludf.DUMMYFUNCTION("IF(
  OR(K5=1, K5=2),
  SUM(
    FILTER(
      Income!$D$6:$D$8,
      K4 &gt;= Income!$F$6:$F$8
    )
  )
,)"),0.0)</f>
        <v>0</v>
      </c>
      <c r="L18" s="112">
        <f>IFERROR(__xludf.DUMMYFUNCTION("IF(
  OR(L5=1, L5=2),
  SUM(
    FILTER(
      Income!$D$6:$D$8,
      L4 &gt;= Income!$F$6:$F$8
    )
  )
,)"),0.0)</f>
        <v>0</v>
      </c>
      <c r="M18" s="112">
        <f>IFERROR(__xludf.DUMMYFUNCTION("IF(
  OR(M5=1, M5=2),
  SUM(
    FILTER(
      Income!$D$6:$D$8,
      M4 &gt;= Income!$F$6:$F$8
    )
  )
,)"),0.0)</f>
        <v>0</v>
      </c>
      <c r="N18" s="112">
        <f>IFERROR(__xludf.DUMMYFUNCTION("IF(
  OR(N5=1, N5=2),
  SUM(
    FILTER(
      Income!$D$6:$D$8,
      N4 &gt;= Income!$F$6:$F$8
    )
  )
,)"),0.0)</f>
        <v>0</v>
      </c>
      <c r="O18" s="112">
        <f>IFERROR(__xludf.DUMMYFUNCTION("IF(
  OR(O5=1, O5=2),
  SUM(
    FILTER(
      Income!$D$6:$D$8,
      O4 &gt;= Income!$F$6:$F$8
    )
  )
,)"),0.0)</f>
        <v>0</v>
      </c>
      <c r="P18" s="112">
        <f>IFERROR(__xludf.DUMMYFUNCTION("IF(
  OR(P5=1, P5=2),
  SUM(
    FILTER(
      Income!$D$6:$D$8,
      P4 &gt;= Income!$F$6:$F$8
    )
  )
,)"),0.0)</f>
        <v>0</v>
      </c>
      <c r="Q18" s="112">
        <f>IFERROR(__xludf.DUMMYFUNCTION("IF(
  OR(Q5=1, Q5=2),
  SUM(
    FILTER(
      Income!$D$6:$D$8,
      Q4 &gt;= Income!$F$6:$F$8
    )
  )
,)"),0.0)</f>
        <v>0</v>
      </c>
      <c r="R18" s="112">
        <f>IFERROR(__xludf.DUMMYFUNCTION("IF(
  OR(R5=1, R5=2),
  SUM(
    FILTER(
      Income!$D$6:$D$8,
      R4 &gt;= Income!$F$6:$F$8
    )
  )
,)"),0.0)</f>
        <v>0</v>
      </c>
      <c r="S18" s="112">
        <f>IFERROR(__xludf.DUMMYFUNCTION("IF(
  OR(S5=1, S5=2),
  SUM(
    FILTER(
      Income!$D$6:$D$8,
      S4 &gt;= Income!$F$6:$F$8
    )
  )
,)"),0.0)</f>
        <v>0</v>
      </c>
      <c r="T18" s="112">
        <f>IFERROR(__xludf.DUMMYFUNCTION("IF(
  OR(T5=1, T5=2),
  SUM(
    FILTER(
      Income!$D$6:$D$8,
      T4 &gt;= Income!$F$6:$F$8
    )
  )
,)"),0.0)</f>
        <v>0</v>
      </c>
      <c r="U18" s="112">
        <f>IFERROR(__xludf.DUMMYFUNCTION("IF(
  OR(U5=1, U5=2),
  SUM(
    FILTER(
      Income!$D$6:$D$8,
      U4 &gt;= Income!$F$6:$F$8
    )
  )
,)"),0.0)</f>
        <v>0</v>
      </c>
      <c r="V18" s="112">
        <f>IFERROR(__xludf.DUMMYFUNCTION("IF(
  OR(V5=1, V5=2),
  SUM(
    FILTER(
      Income!$D$6:$D$8,
      V4 &gt;= Income!$F$6:$F$8
    )
  )
,)"),0.0)</f>
        <v>0</v>
      </c>
      <c r="W18" s="112">
        <f>IFERROR(__xludf.DUMMYFUNCTION("IF(
  OR(W5=1, W5=2),
  SUM(
    FILTER(
      Income!$D$6:$D$8,
      W4 &gt;= Income!$F$6:$F$8
    )
  )
,)"),0.0)</f>
        <v>0</v>
      </c>
      <c r="X18" s="112">
        <f>IFERROR(__xludf.DUMMYFUNCTION("IF(
  OR(X5=1, X5=2),
  SUM(
    FILTER(
      Income!$D$6:$D$8,
      X4 &gt;= Income!$F$6:$F$8
    )
  )
,)"),0.0)</f>
        <v>0</v>
      </c>
      <c r="Y18" s="112">
        <f>IFERROR(__xludf.DUMMYFUNCTION("IF(
  OR(Y5=1, Y5=2),
  SUM(
    FILTER(
      Income!$D$6:$D$8,
      Y4 &gt;= Income!$F$6:$F$8
    )
  )
,)"),0.0)</f>
        <v>0</v>
      </c>
      <c r="Z18" s="112">
        <f>IFERROR(__xludf.DUMMYFUNCTION("IF(
  OR(Z5=1, Z5=2),
  SUM(
    FILTER(
      Income!$D$6:$D$8,
      Z4 &gt;= Income!$F$6:$F$8
    )
  )
,)"),0.0)</f>
        <v>0</v>
      </c>
      <c r="AA18" s="112">
        <f>IFERROR(__xludf.DUMMYFUNCTION("IF(
  OR(AA5=1, AA5=2),
  SUM(
    FILTER(
      Income!$D$6:$D$8,
      AA4 &gt;= Income!$F$6:$F$8
    )
  )
,)"),0.0)</f>
        <v>0</v>
      </c>
      <c r="AB18" s="112">
        <f>IFERROR(__xludf.DUMMYFUNCTION("IF(
  OR(AB5=1, AB5=2),
  SUM(
    FILTER(
      Income!$D$6:$D$8,
      AB4 &gt;= Income!$F$6:$F$8
    )
  )
,)"),0.0)</f>
        <v>0</v>
      </c>
      <c r="AC18" s="112">
        <f>IFERROR(__xludf.DUMMYFUNCTION("IF(
  OR(AC5=1, AC5=2),
  SUM(
    FILTER(
      Income!$D$6:$D$8,
      AC4 &gt;= Income!$F$6:$F$8
    )
  )
,)"),0.0)</f>
        <v>0</v>
      </c>
      <c r="AD18" s="112">
        <f>IFERROR(__xludf.DUMMYFUNCTION("IF(
  OR(AD5=1, AD5=2),
  SUM(
    FILTER(
      Income!$D$6:$D$8,
      AD4 &gt;= Income!$F$6:$F$8
    )
  )
,)"),0.0)</f>
        <v>0</v>
      </c>
      <c r="AE18" s="112">
        <f>IFERROR(__xludf.DUMMYFUNCTION("IF(
  OR(AE5=1, AE5=2),
  SUM(
    FILTER(
      Income!$D$6:$D$8,
      AE4 &gt;= Income!$F$6:$F$8
    )
  )
,)"),0.0)</f>
        <v>0</v>
      </c>
      <c r="AF18" s="112">
        <f>IFERROR(__xludf.DUMMYFUNCTION("IF(
  OR(AF5=1, AF5=2),
  SUM(
    FILTER(
      Income!$D$6:$D$8,
      AF4 &gt;= Income!$F$6:$F$8
    )
  )
,)"),0.0)</f>
        <v>0</v>
      </c>
      <c r="AG18" s="112">
        <f>IFERROR(__xludf.DUMMYFUNCTION("IF(
  OR(AG5=1, AG5=2),
  SUM(
    FILTER(
      Income!$D$6:$D$8,
      AG4 &gt;= Income!$F$6:$F$8
    )
  )
,)"),0.0)</f>
        <v>0</v>
      </c>
      <c r="AH18" s="112">
        <f>IFERROR(__xludf.DUMMYFUNCTION("IF(
  OR(AH5=1, AH5=2),
  SUM(
    FILTER(
      Income!$D$6:$D$8,
      AH4 &gt;= Income!$F$6:$F$8
    )
  )
,)"),0.0)</f>
        <v>0</v>
      </c>
      <c r="AI18" s="112">
        <f>IFERROR(__xludf.DUMMYFUNCTION("IF(
  OR(AI5=1, AI5=2),
  SUM(
    FILTER(
      Income!$D$6:$D$8,
      AI4 &gt;= Income!$F$6:$F$8
    )
  )
,)"),0.0)</f>
        <v>0</v>
      </c>
      <c r="AJ18" s="112">
        <f>IFERROR(__xludf.DUMMYFUNCTION("IF(
  OR(AJ5=1, AJ5=2),
  SUM(
    FILTER(
      Income!$D$6:$D$8,
      AJ4 &gt;= Income!$F$6:$F$8
    )
  )
,)"),0.0)</f>
        <v>0</v>
      </c>
      <c r="AK18" s="112">
        <f>IFERROR(__xludf.DUMMYFUNCTION("IF(
  OR(AK5=1, AK5=2),
  SUM(
    FILTER(
      Income!$D$6:$D$8,
      AK4 &gt;= Income!$F$6:$F$8
    )
  )
,)"),0.0)</f>
        <v>0</v>
      </c>
      <c r="AL18" s="112">
        <f>IFERROR(__xludf.DUMMYFUNCTION("IF(
  OR(AL5=1, AL5=2),
  SUM(
    FILTER(
      Income!$D$6:$D$8,
      AL4 &gt;= Income!$F$6:$F$8
    )
  )
,)"),0.0)</f>
        <v>0</v>
      </c>
      <c r="AM18" s="112" t="str">
        <f>IFERROR(__xludf.DUMMYFUNCTION("IF(
  OR(AM5=1, AM5=2),
  SUM(
    FILTER(
      Income!$D$6:$D$8,
      AM4 &gt;= Income!$F$6:$F$8
    )
  )
,)"),"")</f>
        <v/>
      </c>
      <c r="AN18" s="112" t="str">
        <f>IFERROR(__xludf.DUMMYFUNCTION("IF(
  OR(AN5=1, AN5=2),
  SUM(
    FILTER(
      Income!$D$6:$D$8,
      AN4 &gt;= Income!$F$6:$F$8
    )
  )
,)"),"")</f>
        <v/>
      </c>
      <c r="AO18" s="112" t="str">
        <f>IFERROR(__xludf.DUMMYFUNCTION("IF(
  OR(AO5=1, AO5=2),
  SUM(
    FILTER(
      Income!$D$6:$D$8,
      AO4 &gt;= Income!$F$6:$F$8
    )
  )
,)"),"")</f>
        <v/>
      </c>
      <c r="AP18" s="112" t="str">
        <f>IFERROR(__xludf.DUMMYFUNCTION("IF(
  OR(AP5=1, AP5=2),
  SUM(
    FILTER(
      Income!$D$6:$D$8,
      AP4 &gt;= Income!$F$6:$F$8
    )
  )
,)"),"")</f>
        <v/>
      </c>
      <c r="AQ18" s="112" t="str">
        <f>IFERROR(__xludf.DUMMYFUNCTION("IF(
  OR(AQ5=1, AQ5=2),
  SUM(
    FILTER(
      Income!$D$6:$D$8,
      AQ4 &gt;= Income!$F$6:$F$8
    )
  )
,)"),"")</f>
        <v/>
      </c>
      <c r="AR18" s="112" t="str">
        <f>IFERROR(__xludf.DUMMYFUNCTION("IF(
  OR(AR5=1, AR5=2),
  SUM(
    FILTER(
      Income!$D$6:$D$8,
      AR4 &gt;= Income!$F$6:$F$8
    )
  )
,)"),"")</f>
        <v/>
      </c>
      <c r="AS18" s="112" t="str">
        <f>IFERROR(__xludf.DUMMYFUNCTION("IF(
  OR(AS5=1, AS5=2),
  SUM(
    FILTER(
      Income!$D$6:$D$8,
      AS4 &gt;= Income!$F$6:$F$8
    )
  )
,)"),"")</f>
        <v/>
      </c>
      <c r="AT18" s="112" t="str">
        <f>IFERROR(__xludf.DUMMYFUNCTION("IF(
  OR(AT5=1, AT5=2),
  SUM(
    FILTER(
      Income!$D$6:$D$8,
      AT4 &gt;= Income!$F$6:$F$8
    )
  )
,)"),"")</f>
        <v/>
      </c>
      <c r="AU18" s="112" t="str">
        <f>IFERROR(__xludf.DUMMYFUNCTION("IF(
  OR(AU5=1, AU5=2),
  SUM(
    FILTER(
      Income!$D$6:$D$8,
      AU4 &gt;= Income!$F$6:$F$8
    )
  )
,)"),"")</f>
        <v/>
      </c>
      <c r="AV18" s="112" t="str">
        <f>IFERROR(__xludf.DUMMYFUNCTION("IF(
  OR(AV5=1, AV5=2),
  SUM(
    FILTER(
      Income!$D$6:$D$8,
      AV4 &gt;= Income!$F$6:$F$8
    )
  )
,)"),"")</f>
        <v/>
      </c>
      <c r="AW18" s="103"/>
    </row>
    <row r="19">
      <c r="A19" s="113" t="s">
        <v>67</v>
      </c>
      <c r="B19" s="92"/>
      <c r="C19" s="92"/>
      <c r="D19" s="110" t="str">
        <f t="shared" ref="D19:AV19" si="9">if(D18&gt;0,D18/12,)</f>
        <v/>
      </c>
      <c r="E19" s="110" t="str">
        <f t="shared" si="9"/>
        <v/>
      </c>
      <c r="F19" s="110" t="str">
        <f t="shared" si="9"/>
        <v/>
      </c>
      <c r="G19" s="110" t="str">
        <f t="shared" si="9"/>
        <v/>
      </c>
      <c r="H19" s="110" t="str">
        <f t="shared" si="9"/>
        <v/>
      </c>
      <c r="I19" s="110" t="str">
        <f t="shared" si="9"/>
        <v/>
      </c>
      <c r="J19" s="110" t="str">
        <f t="shared" si="9"/>
        <v/>
      </c>
      <c r="K19" s="110" t="str">
        <f t="shared" si="9"/>
        <v/>
      </c>
      <c r="L19" s="110" t="str">
        <f t="shared" si="9"/>
        <v/>
      </c>
      <c r="M19" s="110" t="str">
        <f t="shared" si="9"/>
        <v/>
      </c>
      <c r="N19" s="110" t="str">
        <f t="shared" si="9"/>
        <v/>
      </c>
      <c r="O19" s="110" t="str">
        <f t="shared" si="9"/>
        <v/>
      </c>
      <c r="P19" s="110" t="str">
        <f t="shared" si="9"/>
        <v/>
      </c>
      <c r="Q19" s="110" t="str">
        <f t="shared" si="9"/>
        <v/>
      </c>
      <c r="R19" s="110" t="str">
        <f t="shared" si="9"/>
        <v/>
      </c>
      <c r="S19" s="110" t="str">
        <f t="shared" si="9"/>
        <v/>
      </c>
      <c r="T19" s="110" t="str">
        <f t="shared" si="9"/>
        <v/>
      </c>
      <c r="U19" s="110" t="str">
        <f t="shared" si="9"/>
        <v/>
      </c>
      <c r="V19" s="110" t="str">
        <f t="shared" si="9"/>
        <v/>
      </c>
      <c r="W19" s="110" t="str">
        <f t="shared" si="9"/>
        <v/>
      </c>
      <c r="X19" s="110" t="str">
        <f t="shared" si="9"/>
        <v/>
      </c>
      <c r="Y19" s="110" t="str">
        <f t="shared" si="9"/>
        <v/>
      </c>
      <c r="Z19" s="110" t="str">
        <f t="shared" si="9"/>
        <v/>
      </c>
      <c r="AA19" s="110" t="str">
        <f t="shared" si="9"/>
        <v/>
      </c>
      <c r="AB19" s="110" t="str">
        <f t="shared" si="9"/>
        <v/>
      </c>
      <c r="AC19" s="110" t="str">
        <f t="shared" si="9"/>
        <v/>
      </c>
      <c r="AD19" s="110" t="str">
        <f t="shared" si="9"/>
        <v/>
      </c>
      <c r="AE19" s="110" t="str">
        <f t="shared" si="9"/>
        <v/>
      </c>
      <c r="AF19" s="110" t="str">
        <f t="shared" si="9"/>
        <v/>
      </c>
      <c r="AG19" s="110" t="str">
        <f t="shared" si="9"/>
        <v/>
      </c>
      <c r="AH19" s="110" t="str">
        <f t="shared" si="9"/>
        <v/>
      </c>
      <c r="AI19" s="110" t="str">
        <f t="shared" si="9"/>
        <v/>
      </c>
      <c r="AJ19" s="110" t="str">
        <f t="shared" si="9"/>
        <v/>
      </c>
      <c r="AK19" s="110" t="str">
        <f t="shared" si="9"/>
        <v/>
      </c>
      <c r="AL19" s="110" t="str">
        <f t="shared" si="9"/>
        <v/>
      </c>
      <c r="AM19" s="110" t="str">
        <f t="shared" si="9"/>
        <v/>
      </c>
      <c r="AN19" s="110" t="str">
        <f t="shared" si="9"/>
        <v/>
      </c>
      <c r="AO19" s="110" t="str">
        <f t="shared" si="9"/>
        <v/>
      </c>
      <c r="AP19" s="110" t="str">
        <f t="shared" si="9"/>
        <v/>
      </c>
      <c r="AQ19" s="110" t="str">
        <f t="shared" si="9"/>
        <v/>
      </c>
      <c r="AR19" s="110" t="str">
        <f t="shared" si="9"/>
        <v/>
      </c>
      <c r="AS19" s="110" t="str">
        <f t="shared" si="9"/>
        <v/>
      </c>
      <c r="AT19" s="110" t="str">
        <f t="shared" si="9"/>
        <v/>
      </c>
      <c r="AU19" s="110" t="str">
        <f t="shared" si="9"/>
        <v/>
      </c>
      <c r="AV19" s="110" t="str">
        <f t="shared" si="9"/>
        <v/>
      </c>
      <c r="AW19" s="103"/>
    </row>
    <row r="20">
      <c r="A20" s="111" t="s">
        <v>68</v>
      </c>
      <c r="B20" s="92"/>
      <c r="C20" s="92"/>
      <c r="D20" s="112" t="str">
        <f>IFERROR(__xludf.DUMMYFUNCTION("IF(
  OR(D5=1, D5=2),
  SUM(
    FILTER(
      Income!$D$10:$D$12,
      D4 &gt;= Income!$F$10:$F$12
    )
  )
,)"),"")</f>
        <v/>
      </c>
      <c r="E20" s="112" t="str">
        <f>IFERROR(__xludf.DUMMYFUNCTION("IF(
  OR(E5=1, E5=2),
  SUM(
    FILTER(
      Income!$D$10:$D$12,
      E4 &gt;= Income!$F$10:$F$12
    )
  )
,)"),"")</f>
        <v/>
      </c>
      <c r="F20" s="112" t="str">
        <f>IFERROR(__xludf.DUMMYFUNCTION("IF(
  OR(F5=1, F5=2),
  SUM(
    FILTER(
      Income!$D$10:$D$12,
      F4 &gt;= Income!$F$10:$F$12
    )
  )
,)"),"")</f>
        <v/>
      </c>
      <c r="G20" s="112">
        <f>IFERROR(__xludf.DUMMYFUNCTION("IF(
  OR(G5=1, G5=2),
  SUM(
    FILTER(
      Income!$D$10:$D$12,
      G4 &gt;= Income!$F$10:$F$12
    )
  )
,)"),0.0)</f>
        <v>0</v>
      </c>
      <c r="H20" s="112">
        <f>IFERROR(__xludf.DUMMYFUNCTION("IF(
  OR(H5=1, H5=2),
  SUM(
    FILTER(
      Income!$D$10:$D$12,
      H4 &gt;= Income!$F$10:$F$12
    )
  )
,)"),0.0)</f>
        <v>0</v>
      </c>
      <c r="I20" s="112">
        <f>IFERROR(__xludf.DUMMYFUNCTION("IF(
  OR(I5=1, I5=2),
  SUM(
    FILTER(
      Income!$D$10:$D$12,
      I4 &gt;= Income!$F$10:$F$12
    )
  )
,)"),0.0)</f>
        <v>0</v>
      </c>
      <c r="J20" s="112">
        <f>IFERROR(__xludf.DUMMYFUNCTION("IF(
  OR(J5=1, J5=2),
  SUM(
    FILTER(
      Income!$D$10:$D$12,
      J4 &gt;= Income!$F$10:$F$12
    )
  )
,)"),0.0)</f>
        <v>0</v>
      </c>
      <c r="K20" s="112">
        <f>IFERROR(__xludf.DUMMYFUNCTION("IF(
  OR(K5=1, K5=2),
  SUM(
    FILTER(
      Income!$D$10:$D$12,
      K4 &gt;= Income!$F$10:$F$12
    )
  )
,)"),0.0)</f>
        <v>0</v>
      </c>
      <c r="L20" s="112">
        <f>IFERROR(__xludf.DUMMYFUNCTION("IF(
  OR(L5=1, L5=2),
  SUM(
    FILTER(
      Income!$D$10:$D$12,
      L4 &gt;= Income!$F$10:$F$12
    )
  )
,)"),0.0)</f>
        <v>0</v>
      </c>
      <c r="M20" s="112">
        <f>IFERROR(__xludf.DUMMYFUNCTION("IF(
  OR(M5=1, M5=2),
  SUM(
    FILTER(
      Income!$D$10:$D$12,
      M4 &gt;= Income!$F$10:$F$12
    )
  )
,)"),0.0)</f>
        <v>0</v>
      </c>
      <c r="N20" s="112">
        <f>IFERROR(__xludf.DUMMYFUNCTION("IF(
  OR(N5=1, N5=2),
  SUM(
    FILTER(
      Income!$D$10:$D$12,
      N4 &gt;= Income!$F$10:$F$12
    )
  )
,)"),0.0)</f>
        <v>0</v>
      </c>
      <c r="O20" s="112">
        <f>IFERROR(__xludf.DUMMYFUNCTION("IF(
  OR(O5=1, O5=2),
  SUM(
    FILTER(
      Income!$D$10:$D$12,
      O4 &gt;= Income!$F$10:$F$12
    )
  )
,)"),0.0)</f>
        <v>0</v>
      </c>
      <c r="P20" s="112">
        <f>IFERROR(__xludf.DUMMYFUNCTION("IF(
  OR(P5=1, P5=2),
  SUM(
    FILTER(
      Income!$D$10:$D$12,
      P4 &gt;= Income!$F$10:$F$12
    )
  )
,)"),0.0)</f>
        <v>0</v>
      </c>
      <c r="Q20" s="112">
        <f>IFERROR(__xludf.DUMMYFUNCTION("IF(
  OR(Q5=1, Q5=2),
  SUM(
    FILTER(
      Income!$D$10:$D$12,
      Q4 &gt;= Income!$F$10:$F$12
    )
  )
,)"),0.0)</f>
        <v>0</v>
      </c>
      <c r="R20" s="112">
        <f>IFERROR(__xludf.DUMMYFUNCTION("IF(
  OR(R5=1, R5=2),
  SUM(
    FILTER(
      Income!$D$10:$D$12,
      R4 &gt;= Income!$F$10:$F$12
    )
  )
,)"),0.0)</f>
        <v>0</v>
      </c>
      <c r="S20" s="112">
        <f>IFERROR(__xludf.DUMMYFUNCTION("IF(
  OR(S5=1, S5=2),
  SUM(
    FILTER(
      Income!$D$10:$D$12,
      S4 &gt;= Income!$F$10:$F$12
    )
  )
,)"),0.0)</f>
        <v>0</v>
      </c>
      <c r="T20" s="112">
        <f>IFERROR(__xludf.DUMMYFUNCTION("IF(
  OR(T5=1, T5=2),
  SUM(
    FILTER(
      Income!$D$10:$D$12,
      T4 &gt;= Income!$F$10:$F$12
    )
  )
,)"),0.0)</f>
        <v>0</v>
      </c>
      <c r="U20" s="112">
        <f>IFERROR(__xludf.DUMMYFUNCTION("IF(
  OR(U5=1, U5=2),
  SUM(
    FILTER(
      Income!$D$10:$D$12,
      U4 &gt;= Income!$F$10:$F$12
    )
  )
,)"),0.0)</f>
        <v>0</v>
      </c>
      <c r="V20" s="112">
        <f>IFERROR(__xludf.DUMMYFUNCTION("IF(
  OR(V5=1, V5=2),
  SUM(
    FILTER(
      Income!$D$10:$D$12,
      V4 &gt;= Income!$F$10:$F$12
    )
  )
,)"),0.0)</f>
        <v>0</v>
      </c>
      <c r="W20" s="112">
        <f>IFERROR(__xludf.DUMMYFUNCTION("IF(
  OR(W5=1, W5=2),
  SUM(
    FILTER(
      Income!$D$10:$D$12,
      W4 &gt;= Income!$F$10:$F$12
    )
  )
,)"),0.0)</f>
        <v>0</v>
      </c>
      <c r="X20" s="112">
        <f>IFERROR(__xludf.DUMMYFUNCTION("IF(
  OR(X5=1, X5=2),
  SUM(
    FILTER(
      Income!$D$10:$D$12,
      X4 &gt;= Income!$F$10:$F$12
    )
  )
,)"),0.0)</f>
        <v>0</v>
      </c>
      <c r="Y20" s="112">
        <f>IFERROR(__xludf.DUMMYFUNCTION("IF(
  OR(Y5=1, Y5=2),
  SUM(
    FILTER(
      Income!$D$10:$D$12,
      Y4 &gt;= Income!$F$10:$F$12
    )
  )
,)"),0.0)</f>
        <v>0</v>
      </c>
      <c r="Z20" s="112">
        <f>IFERROR(__xludf.DUMMYFUNCTION("IF(
  OR(Z5=1, Z5=2),
  SUM(
    FILTER(
      Income!$D$10:$D$12,
      Z4 &gt;= Income!$F$10:$F$12
    )
  )
,)"),0.0)</f>
        <v>0</v>
      </c>
      <c r="AA20" s="112">
        <f>IFERROR(__xludf.DUMMYFUNCTION("IF(
  OR(AA5=1, AA5=2),
  SUM(
    FILTER(
      Income!$D$10:$D$12,
      AA4 &gt;= Income!$F$10:$F$12
    )
  )
,)"),0.0)</f>
        <v>0</v>
      </c>
      <c r="AB20" s="112">
        <f>IFERROR(__xludf.DUMMYFUNCTION("IF(
  OR(AB5=1, AB5=2),
  SUM(
    FILTER(
      Income!$D$10:$D$12,
      AB4 &gt;= Income!$F$10:$F$12
    )
  )
,)"),0.0)</f>
        <v>0</v>
      </c>
      <c r="AC20" s="112">
        <f>IFERROR(__xludf.DUMMYFUNCTION("IF(
  OR(AC5=1, AC5=2),
  SUM(
    FILTER(
      Income!$D$10:$D$12,
      AC4 &gt;= Income!$F$10:$F$12
    )
  )
,)"),0.0)</f>
        <v>0</v>
      </c>
      <c r="AD20" s="112">
        <f>IFERROR(__xludf.DUMMYFUNCTION("IF(
  OR(AD5=1, AD5=2),
  SUM(
    FILTER(
      Income!$D$10:$D$12,
      AD4 &gt;= Income!$F$10:$F$12
    )
  )
,)"),0.0)</f>
        <v>0</v>
      </c>
      <c r="AE20" s="112">
        <f>IFERROR(__xludf.DUMMYFUNCTION("IF(
  OR(AE5=1, AE5=2),
  SUM(
    FILTER(
      Income!$D$10:$D$12,
      AE4 &gt;= Income!$F$10:$F$12
    )
  )
,)"),0.0)</f>
        <v>0</v>
      </c>
      <c r="AF20" s="112">
        <f>IFERROR(__xludf.DUMMYFUNCTION("IF(
  OR(AF5=1, AF5=2),
  SUM(
    FILTER(
      Income!$D$10:$D$12,
      AF4 &gt;= Income!$F$10:$F$12
    )
  )
,)"),0.0)</f>
        <v>0</v>
      </c>
      <c r="AG20" s="112">
        <f>IFERROR(__xludf.DUMMYFUNCTION("IF(
  OR(AG5=1, AG5=2),
  SUM(
    FILTER(
      Income!$D$10:$D$12,
      AG4 &gt;= Income!$F$10:$F$12
    )
  )
,)"),0.0)</f>
        <v>0</v>
      </c>
      <c r="AH20" s="112">
        <f>IFERROR(__xludf.DUMMYFUNCTION("IF(
  OR(AH5=1, AH5=2),
  SUM(
    FILTER(
      Income!$D$10:$D$12,
      AH4 &gt;= Income!$F$10:$F$12
    )
  )
,)"),0.0)</f>
        <v>0</v>
      </c>
      <c r="AI20" s="112">
        <f>IFERROR(__xludf.DUMMYFUNCTION("IF(
  OR(AI5=1, AI5=2),
  SUM(
    FILTER(
      Income!$D$10:$D$12,
      AI4 &gt;= Income!$F$10:$F$12
    )
  )
,)"),0.0)</f>
        <v>0</v>
      </c>
      <c r="AJ20" s="112">
        <f>IFERROR(__xludf.DUMMYFUNCTION("IF(
  OR(AJ5=1, AJ5=2),
  SUM(
    FILTER(
      Income!$D$10:$D$12,
      AJ4 &gt;= Income!$F$10:$F$12
    )
  )
,)"),0.0)</f>
        <v>0</v>
      </c>
      <c r="AK20" s="112">
        <f>IFERROR(__xludf.DUMMYFUNCTION("IF(
  OR(AK5=1, AK5=2),
  SUM(
    FILTER(
      Income!$D$10:$D$12,
      AK4 &gt;= Income!$F$10:$F$12
    )
  )
,)"),0.0)</f>
        <v>0</v>
      </c>
      <c r="AL20" s="112">
        <f>IFERROR(__xludf.DUMMYFUNCTION("IF(
  OR(AL5=1, AL5=2),
  SUM(
    FILTER(
      Income!$D$10:$D$12,
      AL4 &gt;= Income!$F$10:$F$12
    )
  )
,)"),0.0)</f>
        <v>0</v>
      </c>
      <c r="AM20" s="112" t="str">
        <f>IFERROR(__xludf.DUMMYFUNCTION("IF(
  OR(AM5=1, AM5=2),
  SUM(
    FILTER(
      Income!$D$10:$D$12,
      AM4 &gt;= Income!$F$10:$F$12
    )
  )
,)"),"")</f>
        <v/>
      </c>
      <c r="AN20" s="112" t="str">
        <f>IFERROR(__xludf.DUMMYFUNCTION("IF(
  OR(AN5=1, AN5=2),
  SUM(
    FILTER(
      Income!$D$10:$D$12,
      AN4 &gt;= Income!$F$10:$F$12
    )
  )
,)"),"")</f>
        <v/>
      </c>
      <c r="AO20" s="112" t="str">
        <f>IFERROR(__xludf.DUMMYFUNCTION("IF(
  OR(AO5=1, AO5=2),
  SUM(
    FILTER(
      Income!$D$10:$D$12,
      AO4 &gt;= Income!$F$10:$F$12
    )
  )
,)"),"")</f>
        <v/>
      </c>
      <c r="AP20" s="112" t="str">
        <f>IFERROR(__xludf.DUMMYFUNCTION("IF(
  OR(AP5=1, AP5=2),
  SUM(
    FILTER(
      Income!$D$10:$D$12,
      AP4 &gt;= Income!$F$10:$F$12
    )
  )
,)"),"")</f>
        <v/>
      </c>
      <c r="AQ20" s="112" t="str">
        <f>IFERROR(__xludf.DUMMYFUNCTION("IF(
  OR(AQ5=1, AQ5=2),
  SUM(
    FILTER(
      Income!$D$10:$D$12,
      AQ4 &gt;= Income!$F$10:$F$12
    )
  )
,)"),"")</f>
        <v/>
      </c>
      <c r="AR20" s="112" t="str">
        <f>IFERROR(__xludf.DUMMYFUNCTION("IF(
  OR(AR5=1, AR5=2),
  SUM(
    FILTER(
      Income!$D$10:$D$12,
      AR4 &gt;= Income!$F$10:$F$12
    )
  )
,)"),"")</f>
        <v/>
      </c>
      <c r="AS20" s="112" t="str">
        <f>IFERROR(__xludf.DUMMYFUNCTION("IF(
  OR(AS5=1, AS5=2),
  SUM(
    FILTER(
      Income!$D$10:$D$12,
      AS4 &gt;= Income!$F$10:$F$12
    )
  )
,)"),"")</f>
        <v/>
      </c>
      <c r="AT20" s="112" t="str">
        <f>IFERROR(__xludf.DUMMYFUNCTION("IF(
  OR(AT5=1, AT5=2),
  SUM(
    FILTER(
      Income!$D$10:$D$12,
      AT4 &gt;= Income!$F$10:$F$12
    )
  )
,)"),"")</f>
        <v/>
      </c>
      <c r="AU20" s="112" t="str">
        <f>IFERROR(__xludf.DUMMYFUNCTION("IF(
  OR(AU5=1, AU5=2),
  SUM(
    FILTER(
      Income!$D$10:$D$12,
      AU4 &gt;= Income!$F$10:$F$12
    )
  )
,)"),"")</f>
        <v/>
      </c>
      <c r="AV20" s="112" t="str">
        <f>IFERROR(__xludf.DUMMYFUNCTION("IF(
  OR(AV5=1, AV5=2),
  SUM(
    FILTER(
      Income!$D$10:$D$12,
      AV4 &gt;= Income!$F$10:$F$12
    )
  )
,)"),"")</f>
        <v/>
      </c>
      <c r="AW20" s="103"/>
    </row>
    <row r="21">
      <c r="A21" s="113" t="s">
        <v>69</v>
      </c>
      <c r="B21" s="92"/>
      <c r="C21" s="92"/>
      <c r="D21" s="110" t="str">
        <f t="shared" ref="D21:AV21" si="10">if(D20&gt;0,D20/12,)</f>
        <v/>
      </c>
      <c r="E21" s="110" t="str">
        <f t="shared" si="10"/>
        <v/>
      </c>
      <c r="F21" s="110" t="str">
        <f t="shared" si="10"/>
        <v/>
      </c>
      <c r="G21" s="110" t="str">
        <f t="shared" si="10"/>
        <v/>
      </c>
      <c r="H21" s="110" t="str">
        <f t="shared" si="10"/>
        <v/>
      </c>
      <c r="I21" s="110" t="str">
        <f t="shared" si="10"/>
        <v/>
      </c>
      <c r="J21" s="110" t="str">
        <f t="shared" si="10"/>
        <v/>
      </c>
      <c r="K21" s="110" t="str">
        <f t="shared" si="10"/>
        <v/>
      </c>
      <c r="L21" s="110" t="str">
        <f t="shared" si="10"/>
        <v/>
      </c>
      <c r="M21" s="110" t="str">
        <f t="shared" si="10"/>
        <v/>
      </c>
      <c r="N21" s="110" t="str">
        <f t="shared" si="10"/>
        <v/>
      </c>
      <c r="O21" s="110" t="str">
        <f t="shared" si="10"/>
        <v/>
      </c>
      <c r="P21" s="110" t="str">
        <f t="shared" si="10"/>
        <v/>
      </c>
      <c r="Q21" s="110" t="str">
        <f t="shared" si="10"/>
        <v/>
      </c>
      <c r="R21" s="110" t="str">
        <f t="shared" si="10"/>
        <v/>
      </c>
      <c r="S21" s="110" t="str">
        <f t="shared" si="10"/>
        <v/>
      </c>
      <c r="T21" s="110" t="str">
        <f t="shared" si="10"/>
        <v/>
      </c>
      <c r="U21" s="110" t="str">
        <f t="shared" si="10"/>
        <v/>
      </c>
      <c r="V21" s="110" t="str">
        <f t="shared" si="10"/>
        <v/>
      </c>
      <c r="W21" s="110" t="str">
        <f t="shared" si="10"/>
        <v/>
      </c>
      <c r="X21" s="110" t="str">
        <f t="shared" si="10"/>
        <v/>
      </c>
      <c r="Y21" s="110" t="str">
        <f t="shared" si="10"/>
        <v/>
      </c>
      <c r="Z21" s="110" t="str">
        <f t="shared" si="10"/>
        <v/>
      </c>
      <c r="AA21" s="110" t="str">
        <f t="shared" si="10"/>
        <v/>
      </c>
      <c r="AB21" s="110" t="str">
        <f t="shared" si="10"/>
        <v/>
      </c>
      <c r="AC21" s="110" t="str">
        <f t="shared" si="10"/>
        <v/>
      </c>
      <c r="AD21" s="110" t="str">
        <f t="shared" si="10"/>
        <v/>
      </c>
      <c r="AE21" s="110" t="str">
        <f t="shared" si="10"/>
        <v/>
      </c>
      <c r="AF21" s="110" t="str">
        <f t="shared" si="10"/>
        <v/>
      </c>
      <c r="AG21" s="110" t="str">
        <f t="shared" si="10"/>
        <v/>
      </c>
      <c r="AH21" s="110" t="str">
        <f t="shared" si="10"/>
        <v/>
      </c>
      <c r="AI21" s="110" t="str">
        <f t="shared" si="10"/>
        <v/>
      </c>
      <c r="AJ21" s="110" t="str">
        <f t="shared" si="10"/>
        <v/>
      </c>
      <c r="AK21" s="110" t="str">
        <f t="shared" si="10"/>
        <v/>
      </c>
      <c r="AL21" s="110" t="str">
        <f t="shared" si="10"/>
        <v/>
      </c>
      <c r="AM21" s="110" t="str">
        <f t="shared" si="10"/>
        <v/>
      </c>
      <c r="AN21" s="110" t="str">
        <f t="shared" si="10"/>
        <v/>
      </c>
      <c r="AO21" s="110" t="str">
        <f t="shared" si="10"/>
        <v/>
      </c>
      <c r="AP21" s="110" t="str">
        <f t="shared" si="10"/>
        <v/>
      </c>
      <c r="AQ21" s="110" t="str">
        <f t="shared" si="10"/>
        <v/>
      </c>
      <c r="AR21" s="110" t="str">
        <f t="shared" si="10"/>
        <v/>
      </c>
      <c r="AS21" s="110" t="str">
        <f t="shared" si="10"/>
        <v/>
      </c>
      <c r="AT21" s="110" t="str">
        <f t="shared" si="10"/>
        <v/>
      </c>
      <c r="AU21" s="110" t="str">
        <f t="shared" si="10"/>
        <v/>
      </c>
      <c r="AV21" s="110" t="str">
        <f t="shared" si="10"/>
        <v/>
      </c>
      <c r="AW21" s="103"/>
    </row>
    <row r="22">
      <c r="A22" s="111" t="s">
        <v>70</v>
      </c>
      <c r="B22" s="92"/>
      <c r="C22" s="92"/>
      <c r="D22" s="112" t="str">
        <f>IF(
  OR(D5=1, D5=2),Income!$F$16
,)</f>
        <v/>
      </c>
      <c r="E22" s="112" t="str">
        <f>IF(
  OR(E5=1, E5=2),Income!$F$16
,)</f>
        <v/>
      </c>
      <c r="F22" s="112" t="str">
        <f>IF(
  OR(F5=1, F5=2),Income!$F$16
,)</f>
        <v/>
      </c>
      <c r="G22" s="112">
        <f>IF(
  OR(G5=1, G5=2),Income!$F$16
,)</f>
        <v>1612.5</v>
      </c>
      <c r="H22" s="112">
        <f>IF(
  OR(H5=1, H5=2),Income!$F$16
,)</f>
        <v>1612.5</v>
      </c>
      <c r="I22" s="112">
        <f>IF(
  OR(I5=1, I5=2),Income!$F$16
,)</f>
        <v>1612.5</v>
      </c>
      <c r="J22" s="112">
        <f>IF(
  OR(J5=1, J5=2),Income!$F$16
,)</f>
        <v>1612.5</v>
      </c>
      <c r="K22" s="112">
        <f>IF(
  OR(K5=1, K5=2),Income!$F$16
,)</f>
        <v>1612.5</v>
      </c>
      <c r="L22" s="112">
        <f>IF(
  OR(L5=1, L5=2),Income!$F$16
,)</f>
        <v>1612.5</v>
      </c>
      <c r="M22" s="112">
        <f>IF(
  OR(M5=1, M5=2),Income!$F$16
,)</f>
        <v>1612.5</v>
      </c>
      <c r="N22" s="112">
        <f>IF(
  OR(N5=1, N5=2),Income!$F$16
,)</f>
        <v>1612.5</v>
      </c>
      <c r="O22" s="112">
        <f>IF(
  OR(O5=1, O5=2),Income!$F$16
,)</f>
        <v>1612.5</v>
      </c>
      <c r="P22" s="112">
        <f>IF(
  OR(P5=1, P5=2),Income!$F$16
,)</f>
        <v>1612.5</v>
      </c>
      <c r="Q22" s="112">
        <f>IF(
  OR(Q5=1, Q5=2),Income!$F$16
,)</f>
        <v>1612.5</v>
      </c>
      <c r="R22" s="112">
        <f>IF(
  OR(R5=1, R5=2),Income!$F$16
,)</f>
        <v>1612.5</v>
      </c>
      <c r="S22" s="112">
        <f>IF(
  OR(S5=1, S5=2),Income!$F$16
,)</f>
        <v>1612.5</v>
      </c>
      <c r="T22" s="112">
        <f>IF(
  OR(T5=1, T5=2),Income!$F$16
,)</f>
        <v>1612.5</v>
      </c>
      <c r="U22" s="112">
        <f>IF(
  OR(U5=1, U5=2),Income!$F$16
,)</f>
        <v>1612.5</v>
      </c>
      <c r="V22" s="112">
        <f>IF(
  OR(V5=1, V5=2),Income!$F$16
,)</f>
        <v>1612.5</v>
      </c>
      <c r="W22" s="112">
        <f>IF(
  OR(W5=1, W5=2),Income!$F$16
,)</f>
        <v>1612.5</v>
      </c>
      <c r="X22" s="112">
        <f>IF(
  OR(X5=1, X5=2),Income!$F$16
,)</f>
        <v>1612.5</v>
      </c>
      <c r="Y22" s="112">
        <f>IF(
  OR(Y5=1, Y5=2),Income!$F$16
,)</f>
        <v>1612.5</v>
      </c>
      <c r="Z22" s="112">
        <f>IF(
  OR(Z5=1, Z5=2),Income!$F$16
,)</f>
        <v>1612.5</v>
      </c>
      <c r="AA22" s="112">
        <f>IF(
  OR(AA5=1, AA5=2),Income!$F$16
,)</f>
        <v>1612.5</v>
      </c>
      <c r="AB22" s="112">
        <f>IF(
  OR(AB5=1, AB5=2),Income!$F$16
,)</f>
        <v>1612.5</v>
      </c>
      <c r="AC22" s="112">
        <f>IF(
  OR(AC5=1, AC5=2),Income!$F$16
,)</f>
        <v>1612.5</v>
      </c>
      <c r="AD22" s="112">
        <f>IF(
  OR(AD5=1, AD5=2),Income!$F$16
,)</f>
        <v>1612.5</v>
      </c>
      <c r="AE22" s="112">
        <f>IF(
  OR(AE5=1, AE5=2),Income!$F$16
,)</f>
        <v>1612.5</v>
      </c>
      <c r="AF22" s="112">
        <f>IF(
  OR(AF5=1, AF5=2),Income!$F$16
,)</f>
        <v>1612.5</v>
      </c>
      <c r="AG22" s="112">
        <f>IF(
  OR(AG5=1, AG5=2),Income!$F$16
,)</f>
        <v>1612.5</v>
      </c>
      <c r="AH22" s="112">
        <f>IF(
  OR(AH5=1, AH5=2),Income!$F$16
,)</f>
        <v>1612.5</v>
      </c>
      <c r="AI22" s="112">
        <f>IF(
  OR(AI5=1, AI5=2),Income!$F$16
,)</f>
        <v>1612.5</v>
      </c>
      <c r="AJ22" s="112">
        <f>IF(
  OR(AJ5=1, AJ5=2),Income!$F$16
,)</f>
        <v>1612.5</v>
      </c>
      <c r="AK22" s="112">
        <f>IF(
  OR(AK5=1, AK5=2),Income!$F$16
,)</f>
        <v>1612.5</v>
      </c>
      <c r="AL22" s="112">
        <f>IF(
  OR(AL5=1, AL5=2),Income!$F$16
,)</f>
        <v>1612.5</v>
      </c>
      <c r="AM22" s="112" t="str">
        <f>IF(
  OR(AM5=1, AM5=2),Income!$F$16
,)</f>
        <v/>
      </c>
      <c r="AN22" s="112" t="str">
        <f>IF(
  OR(AN5=1, AN5=2),Income!$F$16
,)</f>
        <v/>
      </c>
      <c r="AO22" s="112" t="str">
        <f>IF(
  OR(AO5=1, AO5=2),Income!$F$16
,)</f>
        <v/>
      </c>
      <c r="AP22" s="112" t="str">
        <f>IF(
  OR(AP5=1, AP5=2),Income!$F$16
,)</f>
        <v/>
      </c>
      <c r="AQ22" s="112" t="str">
        <f>IF(
  OR(AQ5=1, AQ5=2),Income!$F$16
,)</f>
        <v/>
      </c>
      <c r="AR22" s="112" t="str">
        <f>IF(
  OR(AR5=1, AR5=2),Income!$F$16
,)</f>
        <v/>
      </c>
      <c r="AS22" s="112" t="str">
        <f>IF(
  OR(AS5=1, AS5=2),Income!$F$16
,)</f>
        <v/>
      </c>
      <c r="AT22" s="112" t="str">
        <f>IF(
  OR(AT5=1, AT5=2),Income!$F$16
,)</f>
        <v/>
      </c>
      <c r="AU22" s="112" t="str">
        <f>IF(
  OR(AU5=1, AU5=2),Income!$F$16
,)</f>
        <v/>
      </c>
      <c r="AV22" s="112" t="str">
        <f>IF(
  OR(AV5=1, AV5=2),Income!$F$16
,)</f>
        <v/>
      </c>
      <c r="AW22" s="103"/>
    </row>
    <row r="23">
      <c r="A23" s="113" t="s">
        <v>71</v>
      </c>
      <c r="B23" s="92"/>
      <c r="C23" s="92"/>
      <c r="D23" s="112" t="str">
        <f t="shared" ref="D23:AV23" si="11">if(D22&gt;0, D22 / 12,)</f>
        <v/>
      </c>
      <c r="E23" s="112" t="str">
        <f t="shared" si="11"/>
        <v/>
      </c>
      <c r="F23" s="112" t="str">
        <f t="shared" si="11"/>
        <v/>
      </c>
      <c r="G23" s="112">
        <f t="shared" si="11"/>
        <v>134.375</v>
      </c>
      <c r="H23" s="112">
        <f t="shared" si="11"/>
        <v>134.375</v>
      </c>
      <c r="I23" s="112">
        <f t="shared" si="11"/>
        <v>134.375</v>
      </c>
      <c r="J23" s="112">
        <f t="shared" si="11"/>
        <v>134.375</v>
      </c>
      <c r="K23" s="112">
        <f t="shared" si="11"/>
        <v>134.375</v>
      </c>
      <c r="L23" s="112">
        <f t="shared" si="11"/>
        <v>134.375</v>
      </c>
      <c r="M23" s="112">
        <f t="shared" si="11"/>
        <v>134.375</v>
      </c>
      <c r="N23" s="112">
        <f t="shared" si="11"/>
        <v>134.375</v>
      </c>
      <c r="O23" s="112">
        <f t="shared" si="11"/>
        <v>134.375</v>
      </c>
      <c r="P23" s="112">
        <f t="shared" si="11"/>
        <v>134.375</v>
      </c>
      <c r="Q23" s="112">
        <f t="shared" si="11"/>
        <v>134.375</v>
      </c>
      <c r="R23" s="112">
        <f t="shared" si="11"/>
        <v>134.375</v>
      </c>
      <c r="S23" s="112">
        <f t="shared" si="11"/>
        <v>134.375</v>
      </c>
      <c r="T23" s="112">
        <f t="shared" si="11"/>
        <v>134.375</v>
      </c>
      <c r="U23" s="112">
        <f t="shared" si="11"/>
        <v>134.375</v>
      </c>
      <c r="V23" s="112">
        <f t="shared" si="11"/>
        <v>134.375</v>
      </c>
      <c r="W23" s="112">
        <f t="shared" si="11"/>
        <v>134.375</v>
      </c>
      <c r="X23" s="112">
        <f t="shared" si="11"/>
        <v>134.375</v>
      </c>
      <c r="Y23" s="112">
        <f t="shared" si="11"/>
        <v>134.375</v>
      </c>
      <c r="Z23" s="112">
        <f t="shared" si="11"/>
        <v>134.375</v>
      </c>
      <c r="AA23" s="112">
        <f t="shared" si="11"/>
        <v>134.375</v>
      </c>
      <c r="AB23" s="112">
        <f t="shared" si="11"/>
        <v>134.375</v>
      </c>
      <c r="AC23" s="112">
        <f t="shared" si="11"/>
        <v>134.375</v>
      </c>
      <c r="AD23" s="112">
        <f t="shared" si="11"/>
        <v>134.375</v>
      </c>
      <c r="AE23" s="112">
        <f t="shared" si="11"/>
        <v>134.375</v>
      </c>
      <c r="AF23" s="112">
        <f t="shared" si="11"/>
        <v>134.375</v>
      </c>
      <c r="AG23" s="112">
        <f t="shared" si="11"/>
        <v>134.375</v>
      </c>
      <c r="AH23" s="112">
        <f t="shared" si="11"/>
        <v>134.375</v>
      </c>
      <c r="AI23" s="112">
        <f t="shared" si="11"/>
        <v>134.375</v>
      </c>
      <c r="AJ23" s="112">
        <f t="shared" si="11"/>
        <v>134.375</v>
      </c>
      <c r="AK23" s="112">
        <f t="shared" si="11"/>
        <v>134.375</v>
      </c>
      <c r="AL23" s="112">
        <f t="shared" si="11"/>
        <v>134.375</v>
      </c>
      <c r="AM23" s="112" t="str">
        <f t="shared" si="11"/>
        <v/>
      </c>
      <c r="AN23" s="112" t="str">
        <f t="shared" si="11"/>
        <v/>
      </c>
      <c r="AO23" s="112" t="str">
        <f t="shared" si="11"/>
        <v/>
      </c>
      <c r="AP23" s="112" t="str">
        <f t="shared" si="11"/>
        <v/>
      </c>
      <c r="AQ23" s="112" t="str">
        <f t="shared" si="11"/>
        <v/>
      </c>
      <c r="AR23" s="112" t="str">
        <f t="shared" si="11"/>
        <v/>
      </c>
      <c r="AS23" s="112" t="str">
        <f t="shared" si="11"/>
        <v/>
      </c>
      <c r="AT23" s="112" t="str">
        <f t="shared" si="11"/>
        <v/>
      </c>
      <c r="AU23" s="112" t="str">
        <f t="shared" si="11"/>
        <v/>
      </c>
      <c r="AV23" s="112" t="str">
        <f t="shared" si="11"/>
        <v/>
      </c>
      <c r="AW23" s="103"/>
    </row>
    <row r="24">
      <c r="A24" s="111" t="s">
        <v>72</v>
      </c>
      <c r="B24" s="92"/>
      <c r="C24" s="92"/>
      <c r="D24" s="112" t="str">
        <f>IF( D5=0,, if( D5=1, 'Person 1 Calculator'!$F$9, if(D5=2, D7+D12+D14+D16+D18+D20+D22,if(D5=3,) )))</f>
        <v/>
      </c>
      <c r="E24" s="112" t="str">
        <f>IF( E5=0,, if( E5=1, 'Person 1 Calculator'!$F$9, if(E5=2, E7+E12+E14+E16+E18+E20+E22,if(E5=3,) )))</f>
        <v/>
      </c>
      <c r="F24" s="112" t="str">
        <f>IF( F5=0,, if( F5=1, 'Person 1 Calculator'!$F$9, if(F5=2, F7+F12+F14+F16+F18+F20+F22,if(F5=3,) )))</f>
        <v/>
      </c>
      <c r="G24" s="112">
        <f>IF( G5=0,, if( G5=1, 'Person 1 Calculator'!$F$9, if(G5=2, G7+G12+G14+G16+G18+G20+G22,if(G5=3,) )))</f>
        <v>108669.6749</v>
      </c>
      <c r="H24" s="112">
        <f>IF( H5=0,, if( H5=1, 'Person 1 Calculator'!$F$9, if(H5=2, H7+H12+H14+H16+H18+H20+H22,if(H5=3,) )))</f>
        <v>111386.4167</v>
      </c>
      <c r="I24" s="112">
        <f>IF( I5=0,, if( I5=1, 'Person 1 Calculator'!$F$9, if(I5=2, I7+I12+I14+I16+I18+I20+I22,if(I5=3,) )))</f>
        <v>114171.0772</v>
      </c>
      <c r="J24" s="112">
        <f>IF( J5=0,, if( J5=1, 'Person 1 Calculator'!$F$9, if(J5=2, J7+J12+J14+J16+J18+J20+J22,if(J5=3,) )))</f>
        <v>117025.3541</v>
      </c>
      <c r="K24" s="112">
        <f>IF( K5=0,, if( K5=1, 'Person 1 Calculator'!$F$9, if(K5=2, K7+K12+K14+K16+K18+K20+K22,if(K5=3,) )))</f>
        <v>119950.9879</v>
      </c>
      <c r="L24" s="112">
        <f>IF( L5=0,, if( L5=1, 'Person 1 Calculator'!$F$9, if(L5=2, L7+L12+L14+L16+L18+L20+L22,if(L5=3,) )))</f>
        <v>122949.7626</v>
      </c>
      <c r="M24" s="112">
        <f>IF( M5=0,, if( M5=1, 'Person 1 Calculator'!$F$9, if(M5=2, M7+M12+M14+M16+M18+M20+M22,if(M5=3,) )))</f>
        <v>126023.5067</v>
      </c>
      <c r="N24" s="112">
        <f>IF( N5=0,, if( N5=1, 'Person 1 Calculator'!$F$9, if(N5=2, N7+N12+N14+N16+N18+N20+N22,if(N5=3,) )))</f>
        <v>129174.0944</v>
      </c>
      <c r="O24" s="112">
        <f>IF( O5=0,, if( O5=1, 'Person 1 Calculator'!$F$9, if(O5=2, O7+O12+O14+O16+O18+O20+O22,if(O5=3,) )))</f>
        <v>132403.4467</v>
      </c>
      <c r="P24" s="112">
        <f>IF( P5=0,, if( P5=1, 'Person 1 Calculator'!$F$9, if(P5=2, P7+P12+P14+P16+P18+P20+P22,if(P5=3,) )))</f>
        <v>135713.5329</v>
      </c>
      <c r="Q24" s="112">
        <f>IF( Q5=0,, if( Q5=1, 'Person 1 Calculator'!$F$9, if(Q5=2, Q7+Q12+Q14+Q16+Q18+Q20+Q22,if(Q5=3,) )))</f>
        <v>139106.3712</v>
      </c>
      <c r="R24" s="112">
        <f>IF( R5=0,, if( R5=1, 'Person 1 Calculator'!$F$9, if(R5=2, R7+R12+R14+R16+R18+R20+R22,if(R5=3,) )))</f>
        <v>142584.0305</v>
      </c>
      <c r="S24" s="112">
        <f>IF( S5=0,, if( S5=1, 'Person 1 Calculator'!$F$9, if(S5=2, S7+S12+S14+S16+S18+S20+S22,if(S5=3,) )))</f>
        <v>116918.905</v>
      </c>
      <c r="T24" s="112">
        <f>IF( T5=0,, if( T5=1, 'Person 1 Calculator'!$F$9, if(T5=2, T7+T12+T14+T16+T18+T20+T22,if(T5=3,) )))</f>
        <v>119841.8776</v>
      </c>
      <c r="U24" s="112">
        <f>IF( U5=0,, if( U5=1, 'Person 1 Calculator'!$F$9, if(U5=2, U7+U12+U14+U16+U18+U20+U22,if(U5=3,) )))</f>
        <v>122837.9246</v>
      </c>
      <c r="V24" s="112">
        <f>IF( V5=0,, if( V5=1, 'Person 1 Calculator'!$F$9, if(V5=2, V7+V12+V14+V16+V18+V20+V22,if(V5=3,) )))</f>
        <v>125908.8727</v>
      </c>
      <c r="W24" s="112">
        <f>IF( W5=0,, if( W5=1, 'Person 1 Calculator'!$F$9, if(W5=2, W7+W12+W14+W16+W18+W20+W22,if(W5=3,) )))</f>
        <v>129056.5945</v>
      </c>
      <c r="X24" s="112">
        <f>IF( X5=0,, if( X5=1, 'Person 1 Calculator'!$F$9, if(X5=2, X7+X12+X14+X16+X18+X20+X22,if(X5=3,) )))</f>
        <v>132283.0094</v>
      </c>
      <c r="Y24" s="112">
        <f>IF( Y5=0,, if( Y5=1, 'Person 1 Calculator'!$F$9, if(Y5=2, Y7+Y12+Y14+Y16+Y18+Y20+Y22,if(Y5=3,) )))</f>
        <v>135590.0846</v>
      </c>
      <c r="Z24" s="112">
        <f>IF( Z5=0,, if( Z5=1, 'Person 1 Calculator'!$F$9, if(Z5=2, Z7+Z12+Z14+Z16+Z18+Z20+Z22,if(Z5=3,) )))</f>
        <v>138979.8367</v>
      </c>
      <c r="AA24" s="112">
        <f>IF( AA5=0,, if( AA5=1, 'Person 1 Calculator'!$F$9, if(AA5=2, AA7+AA12+AA14+AA16+AA18+AA20+AA22,if(AA5=3,) )))</f>
        <v>142454.3326</v>
      </c>
      <c r="AB24" s="112">
        <f>IF( AB5=0,, if( AB5=1, 'Person 1 Calculator'!$F$9, if(AB5=2, AB7+AB12+AB14+AB16+AB18+AB20+AB22,if(AB5=3,) )))</f>
        <v>146015.691</v>
      </c>
      <c r="AC24" s="112">
        <f>IF( AC5=0,, if( AC5=1, 'Person 1 Calculator'!$F$9, if(AC5=2, AC7+AC12+AC14+AC16+AC18+AC20+AC22,if(AC5=3,) )))</f>
        <v>112249.5624</v>
      </c>
      <c r="AD24" s="112">
        <f>IF( AD5=0,, if( AD5=1, 'Person 1 Calculator'!$F$9, if(AD5=2, AD7+AD12+AD14+AD16+AD18+AD20+AD22,if(AD5=3,) )))</f>
        <v>115055.8015</v>
      </c>
      <c r="AE24" s="112">
        <f>IF( AE5=0,, if( AE5=1, 'Person 1 Calculator'!$F$9, if(AE5=2, AE7+AE12+AE14+AE16+AE18+AE20+AE22,if(AE5=3,) )))</f>
        <v>117932.1965</v>
      </c>
      <c r="AF24" s="112">
        <f>IF( AF5=0,, if( AF5=1, 'Person 1 Calculator'!$F$9, if(AF5=2, AF7+AF12+AF14+AF16+AF18+AF20+AF22,if(AF5=3,) )))</f>
        <v>120880.5014</v>
      </c>
      <c r="AG24" s="112">
        <f>IF( AG5=0,, if( AG5=1, 'Person 1 Calculator'!$F$9, if(AG5=2, AG7+AG12+AG14+AG16+AG18+AG20+AG22,if(AG5=3,) )))</f>
        <v>123902.514</v>
      </c>
      <c r="AH24" s="112">
        <f>IF( AH5=0,, if( AH5=1, 'Person 1 Calculator'!$F$9, if(AH5=2, AH7+AH12+AH14+AH16+AH18+AH20+AH22,if(AH5=3,) )))</f>
        <v>127000.0768</v>
      </c>
      <c r="AI24" s="112">
        <f>IF( AI5=0,, if( AI5=1, 'Person 1 Calculator'!$F$9, if(AI5=2, AI7+AI12+AI14+AI16+AI18+AI20+AI22,if(AI5=3,) )))</f>
        <v>130175.0787</v>
      </c>
      <c r="AJ24" s="112">
        <f>IF( AJ5=0,, if( AJ5=1, 'Person 1 Calculator'!$F$9, if(AJ5=2, AJ7+AJ12+AJ14+AJ16+AJ18+AJ20+AJ22,if(AJ5=3,) )))</f>
        <v>133429.4557</v>
      </c>
      <c r="AK24" s="112">
        <f>IF( AK5=0,, if( AK5=1, 'Person 1 Calculator'!$F$9, if(AK5=2, AK7+AK12+AK14+AK16+AK18+AK20+AK22,if(AK5=3,) )))</f>
        <v>136765.1921</v>
      </c>
      <c r="AL24" s="112">
        <f>IF( AL5=0,, if( AL5=1, 'Person 1 Calculator'!$F$9, if(AL5=2, AL7+AL12+AL14+AL16+AL18+AL20+AL22,if(AL5=3,) )))</f>
        <v>140184.3219</v>
      </c>
      <c r="AM24" s="112" t="str">
        <f>IF( AM5=0,, if( AM5=1, 'Person 1 Calculator'!$F$9, if(AM5=2, AM7+AM12+AM14+AM16+AM18+AM20+AM22,if(AM5=3,) )))</f>
        <v/>
      </c>
      <c r="AN24" s="112" t="str">
        <f>IF( AN5=0,, if( AN5=1, 'Person 1 Calculator'!$F$9, if(AN5=2, AN7+AN12+AN14+AN16+AN18+AN20+AN22,if(AN5=3,) )))</f>
        <v/>
      </c>
      <c r="AO24" s="112" t="str">
        <f>IF( AO5=0,, if( AO5=1, 'Person 1 Calculator'!$F$9, if(AO5=2, AO7+AO12+AO14+AO16+AO18+AO20+AO22,if(AO5=3,) )))</f>
        <v/>
      </c>
      <c r="AP24" s="112" t="str">
        <f>IF( AP5=0,, if( AP5=1, 'Person 1 Calculator'!$F$9, if(AP5=2, AP7+AP12+AP14+AP16+AP18+AP20+AP22,if(AP5=3,) )))</f>
        <v/>
      </c>
      <c r="AQ24" s="112" t="str">
        <f>IF( AQ5=0,, if( AQ5=1, 'Person 1 Calculator'!$F$9, if(AQ5=2, AQ7+AQ12+AQ14+AQ16+AQ18+AQ20+AQ22,if(AQ5=3,) )))</f>
        <v/>
      </c>
      <c r="AR24" s="112" t="str">
        <f>IF( AR5=0,, if( AR5=1, 'Person 1 Calculator'!$F$9, if(AR5=2, AR7+AR12+AR14+AR16+AR18+AR20+AR22,if(AR5=3,) )))</f>
        <v/>
      </c>
      <c r="AS24" s="112" t="str">
        <f>IF( AS5=0,, if( AS5=1, 'Person 1 Calculator'!$F$9, if(AS5=2, AS7+AS12+AS14+AS16+AS18+AS20+AS22,if(AS5=3,) )))</f>
        <v/>
      </c>
      <c r="AT24" s="112" t="str">
        <f>IF( AT5=0,, if( AT5=1, 'Person 1 Calculator'!$F$9, if(AT5=2, AT7+AT12+AT14+AT16+AT18+AT20+AT22,if(AT5=3,) )))</f>
        <v/>
      </c>
      <c r="AU24" s="112" t="str">
        <f>IF( AU5=0,, if( AU5=1, 'Person 1 Calculator'!$F$9, if(AU5=2, AU7+AU12+AU14+AU16+AU18+AU20+AU22,if(AU5=3,) )))</f>
        <v/>
      </c>
      <c r="AV24" s="112" t="str">
        <f>IF( AV5=0,, if( AV5=1, 'Person 1 Calculator'!$F$9, if(AV5=2, AV7+AV12+AV14+AV16+AV18+AV20+AV22,if(AV5=3,) )))</f>
        <v/>
      </c>
      <c r="AW24" s="103"/>
    </row>
    <row r="25">
      <c r="A25" s="115" t="s">
        <v>73</v>
      </c>
      <c r="B25" s="92"/>
      <c r="C25" s="92"/>
      <c r="D25" s="110" t="str">
        <f t="shared" ref="D25:AV25" si="12">if(D24&gt;0,D24/12,)</f>
        <v/>
      </c>
      <c r="E25" s="110" t="str">
        <f t="shared" si="12"/>
        <v/>
      </c>
      <c r="F25" s="110" t="str">
        <f t="shared" si="12"/>
        <v/>
      </c>
      <c r="G25" s="110">
        <f t="shared" si="12"/>
        <v>9055.806239</v>
      </c>
      <c r="H25" s="110">
        <f t="shared" si="12"/>
        <v>9282.201395</v>
      </c>
      <c r="I25" s="110">
        <f t="shared" si="12"/>
        <v>9514.25643</v>
      </c>
      <c r="J25" s="110">
        <f t="shared" si="12"/>
        <v>9752.112841</v>
      </c>
      <c r="K25" s="110">
        <f t="shared" si="12"/>
        <v>9995.915662</v>
      </c>
      <c r="L25" s="110">
        <f t="shared" si="12"/>
        <v>10245.81355</v>
      </c>
      <c r="M25" s="110">
        <f t="shared" si="12"/>
        <v>10501.95889</v>
      </c>
      <c r="N25" s="110">
        <f t="shared" si="12"/>
        <v>10764.50786</v>
      </c>
      <c r="O25" s="110">
        <f t="shared" si="12"/>
        <v>11033.62056</v>
      </c>
      <c r="P25" s="110">
        <f t="shared" si="12"/>
        <v>11309.46108</v>
      </c>
      <c r="Q25" s="110">
        <f t="shared" si="12"/>
        <v>11592.1976</v>
      </c>
      <c r="R25" s="110">
        <f t="shared" si="12"/>
        <v>11882.00254</v>
      </c>
      <c r="S25" s="110">
        <f t="shared" si="12"/>
        <v>9743.242085</v>
      </c>
      <c r="T25" s="110">
        <f t="shared" si="12"/>
        <v>9986.823137</v>
      </c>
      <c r="U25" s="110">
        <f t="shared" si="12"/>
        <v>10236.49372</v>
      </c>
      <c r="V25" s="110">
        <f t="shared" si="12"/>
        <v>10492.40606</v>
      </c>
      <c r="W25" s="110">
        <f t="shared" si="12"/>
        <v>10754.71621</v>
      </c>
      <c r="X25" s="110">
        <f t="shared" si="12"/>
        <v>11023.58411</v>
      </c>
      <c r="Y25" s="110">
        <f t="shared" si="12"/>
        <v>11299.17372</v>
      </c>
      <c r="Z25" s="110">
        <f t="shared" si="12"/>
        <v>11581.65306</v>
      </c>
      <c r="AA25" s="110">
        <f t="shared" si="12"/>
        <v>11871.19439</v>
      </c>
      <c r="AB25" s="110">
        <f t="shared" si="12"/>
        <v>12167.97425</v>
      </c>
      <c r="AC25" s="110">
        <f t="shared" si="12"/>
        <v>9354.130202</v>
      </c>
      <c r="AD25" s="110">
        <f t="shared" si="12"/>
        <v>9587.983457</v>
      </c>
      <c r="AE25" s="110">
        <f t="shared" si="12"/>
        <v>9827.683044</v>
      </c>
      <c r="AF25" s="110">
        <f t="shared" si="12"/>
        <v>10073.37512</v>
      </c>
      <c r="AG25" s="110">
        <f t="shared" si="12"/>
        <v>10325.2095</v>
      </c>
      <c r="AH25" s="110">
        <f t="shared" si="12"/>
        <v>10583.33974</v>
      </c>
      <c r="AI25" s="110">
        <f t="shared" si="12"/>
        <v>10847.92323</v>
      </c>
      <c r="AJ25" s="110">
        <f t="shared" si="12"/>
        <v>11119.12131</v>
      </c>
      <c r="AK25" s="110">
        <f t="shared" si="12"/>
        <v>11397.09934</v>
      </c>
      <c r="AL25" s="110">
        <f t="shared" si="12"/>
        <v>11682.02683</v>
      </c>
      <c r="AM25" s="110" t="str">
        <f t="shared" si="12"/>
        <v/>
      </c>
      <c r="AN25" s="110" t="str">
        <f t="shared" si="12"/>
        <v/>
      </c>
      <c r="AO25" s="110" t="str">
        <f t="shared" si="12"/>
        <v/>
      </c>
      <c r="AP25" s="110" t="str">
        <f t="shared" si="12"/>
        <v/>
      </c>
      <c r="AQ25" s="110" t="str">
        <f t="shared" si="12"/>
        <v/>
      </c>
      <c r="AR25" s="110" t="str">
        <f t="shared" si="12"/>
        <v/>
      </c>
      <c r="AS25" s="110" t="str">
        <f t="shared" si="12"/>
        <v/>
      </c>
      <c r="AT25" s="110" t="str">
        <f t="shared" si="12"/>
        <v/>
      </c>
      <c r="AU25" s="110" t="str">
        <f t="shared" si="12"/>
        <v/>
      </c>
      <c r="AV25" s="110" t="str">
        <f t="shared" si="12"/>
        <v/>
      </c>
      <c r="AW25" s="103"/>
    </row>
    <row r="26">
      <c r="A26" s="116" t="str">
        <f>concatenate("Target income with inflation of ",text('Person 1 Calculator'!F18,"0.0%"))</f>
        <v>Target income with inflation of 2.5%</v>
      </c>
      <c r="B26" s="92"/>
      <c r="C26" s="92"/>
      <c r="D26" s="110" t="str">
        <f>if(D5=0,, if( D5=1, D24,if(D5=2,C26*(1+'Person 1 Calculator'!$F$18),if(D5=3,))))</f>
        <v/>
      </c>
      <c r="E26" s="110" t="str">
        <f>if(E5=0,, if( E5=1, E24,if(E5=2,D26*(1+'Person 1 Calculator'!$F$18),if(E5=3,))))</f>
        <v/>
      </c>
      <c r="F26" s="110" t="str">
        <f>if(F5=0,, if( F5=1, F24,if(F5=2,E26*(1+'Person 1 Calculator'!$F$18),if(F5=3,))))</f>
        <v/>
      </c>
      <c r="G26" s="110">
        <f>if(G5=0,, if( G5=1, G24,if(G5=2,F26*(1+'Person 1 Calculator'!$F$18),if(G5=3,))))</f>
        <v>108669.6749</v>
      </c>
      <c r="H26" s="110">
        <f>if(H5=0,, if( H5=1, H24,if(H5=2,G26*(1+'Person 1 Calculator'!$F$18),if(H5=3,))))</f>
        <v>111386.4167</v>
      </c>
      <c r="I26" s="110">
        <f>if(I5=0,, if( I5=1, I24,if(I5=2,H26*(1+'Person 1 Calculator'!$F$18),if(I5=3,))))</f>
        <v>114171.0772</v>
      </c>
      <c r="J26" s="110">
        <f>if(J5=0,, if( J5=1, J24,if(J5=2,I26*(1+'Person 1 Calculator'!$F$18),if(J5=3,))))</f>
        <v>117025.3541</v>
      </c>
      <c r="K26" s="110">
        <f>if(K5=0,, if( K5=1, K24,if(K5=2,J26*(1+'Person 1 Calculator'!$F$18),if(K5=3,))))</f>
        <v>119950.9879</v>
      </c>
      <c r="L26" s="110">
        <f>if(L5=0,, if( L5=1, L24,if(L5=2,K26*(1+'Person 1 Calculator'!$F$18),if(L5=3,))))</f>
        <v>122949.7626</v>
      </c>
      <c r="M26" s="110">
        <f>if(M5=0,, if( M5=1, M24,if(M5=2,L26*(1+'Person 1 Calculator'!$F$18),if(M5=3,))))</f>
        <v>126023.5067</v>
      </c>
      <c r="N26" s="110">
        <f>if(N5=0,, if( N5=1, N24,if(N5=2,M26*(1+'Person 1 Calculator'!$F$18),if(N5=3,))))</f>
        <v>129174.0944</v>
      </c>
      <c r="O26" s="110">
        <f>if(O5=0,, if( O5=1, O24,if(O5=2,N26*(1+'Person 1 Calculator'!$F$18),if(O5=3,))))</f>
        <v>132403.4467</v>
      </c>
      <c r="P26" s="110">
        <f>if(P5=0,, if( P5=1, P24,if(P5=2,O26*(1+'Person 1 Calculator'!$F$18),if(P5=3,))))</f>
        <v>135713.5329</v>
      </c>
      <c r="Q26" s="110">
        <f>if(Q5=0,, if( Q5=1, Q24,if(Q5=2,P26*(1+'Person 1 Calculator'!$F$18),if(Q5=3,))))</f>
        <v>139106.3712</v>
      </c>
      <c r="R26" s="110">
        <f>if(R5=0,, if( R5=1, R24,if(R5=2,Q26*(1+'Person 1 Calculator'!$F$18),if(R5=3,))))</f>
        <v>142584.0305</v>
      </c>
      <c r="S26" s="110">
        <f>if(S5=0,, if( S5=1, S24,if(S5=2,R26*(1+'Person 1 Calculator'!$F$18),if(S5=3,))))</f>
        <v>146148.6313</v>
      </c>
      <c r="T26" s="110">
        <f>if(T5=0,, if( T5=1, T24,if(T5=2,S26*(1+'Person 1 Calculator'!$F$18),if(T5=3,))))</f>
        <v>149802.3471</v>
      </c>
      <c r="U26" s="110">
        <f>if(U5=0,, if( U5=1, U24,if(U5=2,T26*(1+'Person 1 Calculator'!$F$18),if(U5=3,))))</f>
        <v>153547.4057</v>
      </c>
      <c r="V26" s="110">
        <f>if(V5=0,, if( V5=1, V24,if(V5=2,U26*(1+'Person 1 Calculator'!$F$18),if(V5=3,))))</f>
        <v>157386.0909</v>
      </c>
      <c r="W26" s="110">
        <f>if(W5=0,, if( W5=1, W24,if(W5=2,V26*(1+'Person 1 Calculator'!$F$18),if(W5=3,))))</f>
        <v>161320.7431</v>
      </c>
      <c r="X26" s="110">
        <f>if(X5=0,, if( X5=1, X24,if(X5=2,W26*(1+'Person 1 Calculator'!$F$18),if(X5=3,))))</f>
        <v>165353.7617</v>
      </c>
      <c r="Y26" s="110">
        <f>if(Y5=0,, if( Y5=1, Y24,if(Y5=2,X26*(1+'Person 1 Calculator'!$F$18),if(Y5=3,))))</f>
        <v>169487.6058</v>
      </c>
      <c r="Z26" s="110">
        <f>if(Z5=0,, if( Z5=1, Z24,if(Z5=2,Y26*(1+'Person 1 Calculator'!$F$18),if(Z5=3,))))</f>
        <v>173724.7959</v>
      </c>
      <c r="AA26" s="110">
        <f>if(AA5=0,, if( AA5=1, AA24,if(AA5=2,Z26*(1+'Person 1 Calculator'!$F$18),if(AA5=3,))))</f>
        <v>178067.9158</v>
      </c>
      <c r="AB26" s="110">
        <f>if(AB5=0,, if( AB5=1, AB24,if(AB5=2,AA26*(1+'Person 1 Calculator'!$F$18),if(AB5=3,))))</f>
        <v>182519.6137</v>
      </c>
      <c r="AC26" s="110">
        <f>if(AC5=0,, if( AC5=1, AC24,if(AC5=2,AB26*(1+'Person 1 Calculator'!$F$18),if(AC5=3,))))</f>
        <v>187082.604</v>
      </c>
      <c r="AD26" s="110">
        <f>if(AD5=0,, if( AD5=1, AD24,if(AD5=2,AC26*(1+'Person 1 Calculator'!$F$18),if(AD5=3,))))</f>
        <v>191759.6691</v>
      </c>
      <c r="AE26" s="110">
        <f>if(AE5=0,, if( AE5=1, AE24,if(AE5=2,AD26*(1+'Person 1 Calculator'!$F$18),if(AE5=3,))))</f>
        <v>196553.6609</v>
      </c>
      <c r="AF26" s="110">
        <f>if(AF5=0,, if( AF5=1, AF24,if(AF5=2,AE26*(1+'Person 1 Calculator'!$F$18),if(AF5=3,))))</f>
        <v>201467.5024</v>
      </c>
      <c r="AG26" s="110">
        <f>if(AG5=0,, if( AG5=1, AG24,if(AG5=2,AF26*(1+'Person 1 Calculator'!$F$18),if(AG5=3,))))</f>
        <v>206504.19</v>
      </c>
      <c r="AH26" s="110">
        <f>if(AH5=0,, if( AH5=1, AH24,if(AH5=2,AG26*(1+'Person 1 Calculator'!$F$18),if(AH5=3,))))</f>
        <v>211666.7947</v>
      </c>
      <c r="AI26" s="110">
        <f>if(AI5=0,, if( AI5=1, AI24,if(AI5=2,AH26*(1+'Person 1 Calculator'!$F$18),if(AI5=3,))))</f>
        <v>216958.4646</v>
      </c>
      <c r="AJ26" s="110">
        <f>if(AJ5=0,, if( AJ5=1, AJ24,if(AJ5=2,AI26*(1+'Person 1 Calculator'!$F$18),if(AJ5=3,))))</f>
        <v>222382.4262</v>
      </c>
      <c r="AK26" s="110">
        <f>if(AK5=0,, if( AK5=1, AK24,if(AK5=2,AJ26*(1+'Person 1 Calculator'!$F$18),if(AK5=3,))))</f>
        <v>227941.9868</v>
      </c>
      <c r="AL26" s="110">
        <f>if(AL5=0,, if( AL5=1, AL24,if(AL5=2,AK26*(1+'Person 1 Calculator'!$F$18),if(AL5=3,))))</f>
        <v>233640.5365</v>
      </c>
      <c r="AM26" s="110" t="str">
        <f>if(AM5=0,, if( AM5=1, AM24,if(AM5=2,AL26*(1+'Person 1 Calculator'!$F$18),if(AM5=3,))))</f>
        <v/>
      </c>
      <c r="AN26" s="110" t="str">
        <f>if(AN5=0,, if( AN5=1, AN24,if(AN5=2,AM26*(1+'Person 1 Calculator'!$F$18),if(AN5=3,))))</f>
        <v/>
      </c>
      <c r="AO26" s="110" t="str">
        <f>if(AO5=0,, if( AO5=1, AO24,if(AO5=2,AN26*(1+'Person 1 Calculator'!$F$18),if(AO5=3,))))</f>
        <v/>
      </c>
      <c r="AP26" s="110" t="str">
        <f>if(AP5=0,, if( AP5=1, AP24,if(AP5=2,AO26*(1+'Person 1 Calculator'!$F$18),if(AP5=3,))))</f>
        <v/>
      </c>
      <c r="AQ26" s="110" t="str">
        <f>if(AQ5=0,, if( AQ5=1, AQ24,if(AQ5=2,AP26*(1+'Person 1 Calculator'!$F$18),if(AQ5=3,))))</f>
        <v/>
      </c>
      <c r="AR26" s="110" t="str">
        <f>if(AR5=0,, if( AR5=1, AR24,if(AR5=2,AQ26*(1+'Person 1 Calculator'!$F$18),if(AR5=3,))))</f>
        <v/>
      </c>
      <c r="AS26" s="110" t="str">
        <f>if(AS5=0,, if( AS5=1, AS24,if(AS5=2,AR26*(1+'Person 1 Calculator'!$F$18),if(AS5=3,))))</f>
        <v/>
      </c>
      <c r="AT26" s="110" t="str">
        <f>if(AT5=0,, if( AT5=1, AT24,if(AT5=2,AS26*(1+'Person 1 Calculator'!$F$18),if(AT5=3,))))</f>
        <v/>
      </c>
      <c r="AU26" s="110" t="str">
        <f>if(AU5=0,, if( AU5=1, AU24,if(AU5=2,AT26*(1+'Person 1 Calculator'!$F$18),if(AU5=3,))))</f>
        <v/>
      </c>
      <c r="AV26" s="110" t="str">
        <f>if(AV5=0,, if( AV5=1, AV24,if(AV5=2,AU26*(1+'Person 1 Calculator'!$F$18),if(AV5=3,))))</f>
        <v/>
      </c>
      <c r="AW26" s="103"/>
    </row>
    <row r="27">
      <c r="A27" s="117" t="s">
        <v>74</v>
      </c>
      <c r="B27" s="118"/>
      <c r="C27" s="118"/>
      <c r="D27" s="119" t="str">
        <f t="shared" ref="D27:AV27" si="13">if(AND(D24&gt;0, D26&gt;0),D24/D26,)</f>
        <v/>
      </c>
      <c r="E27" s="119" t="str">
        <f t="shared" si="13"/>
        <v/>
      </c>
      <c r="F27" s="119" t="str">
        <f t="shared" si="13"/>
        <v/>
      </c>
      <c r="G27" s="119">
        <f t="shared" si="13"/>
        <v>1</v>
      </c>
      <c r="H27" s="119">
        <f t="shared" si="13"/>
        <v>1</v>
      </c>
      <c r="I27" s="119">
        <f t="shared" si="13"/>
        <v>1</v>
      </c>
      <c r="J27" s="119">
        <f t="shared" si="13"/>
        <v>1</v>
      </c>
      <c r="K27" s="119">
        <f t="shared" si="13"/>
        <v>1</v>
      </c>
      <c r="L27" s="119">
        <f t="shared" si="13"/>
        <v>1</v>
      </c>
      <c r="M27" s="119">
        <f t="shared" si="13"/>
        <v>1</v>
      </c>
      <c r="N27" s="119">
        <f t="shared" si="13"/>
        <v>1</v>
      </c>
      <c r="O27" s="119">
        <f t="shared" si="13"/>
        <v>1</v>
      </c>
      <c r="P27" s="119">
        <f t="shared" si="13"/>
        <v>1</v>
      </c>
      <c r="Q27" s="119">
        <f t="shared" si="13"/>
        <v>1</v>
      </c>
      <c r="R27" s="119">
        <f t="shared" si="13"/>
        <v>1</v>
      </c>
      <c r="S27" s="119">
        <f t="shared" si="13"/>
        <v>0.8</v>
      </c>
      <c r="T27" s="119">
        <f t="shared" si="13"/>
        <v>0.8</v>
      </c>
      <c r="U27" s="119">
        <f t="shared" si="13"/>
        <v>0.8</v>
      </c>
      <c r="V27" s="119">
        <f t="shared" si="13"/>
        <v>0.8</v>
      </c>
      <c r="W27" s="119">
        <f t="shared" si="13"/>
        <v>0.8</v>
      </c>
      <c r="X27" s="119">
        <f t="shared" si="13"/>
        <v>0.8</v>
      </c>
      <c r="Y27" s="119">
        <f t="shared" si="13"/>
        <v>0.8</v>
      </c>
      <c r="Z27" s="119">
        <f t="shared" si="13"/>
        <v>0.8</v>
      </c>
      <c r="AA27" s="119">
        <f t="shared" si="13"/>
        <v>0.8</v>
      </c>
      <c r="AB27" s="119">
        <f t="shared" si="13"/>
        <v>0.8</v>
      </c>
      <c r="AC27" s="119">
        <f t="shared" si="13"/>
        <v>0.6</v>
      </c>
      <c r="AD27" s="119">
        <f t="shared" si="13"/>
        <v>0.6</v>
      </c>
      <c r="AE27" s="119">
        <f t="shared" si="13"/>
        <v>0.6</v>
      </c>
      <c r="AF27" s="119">
        <f t="shared" si="13"/>
        <v>0.6</v>
      </c>
      <c r="AG27" s="119">
        <f t="shared" si="13"/>
        <v>0.6</v>
      </c>
      <c r="AH27" s="119">
        <f t="shared" si="13"/>
        <v>0.6</v>
      </c>
      <c r="AI27" s="119">
        <f t="shared" si="13"/>
        <v>0.6</v>
      </c>
      <c r="AJ27" s="119">
        <f t="shared" si="13"/>
        <v>0.6</v>
      </c>
      <c r="AK27" s="119">
        <f t="shared" si="13"/>
        <v>0.6</v>
      </c>
      <c r="AL27" s="119">
        <f t="shared" si="13"/>
        <v>0.6</v>
      </c>
      <c r="AM27" s="119" t="str">
        <f t="shared" si="13"/>
        <v/>
      </c>
      <c r="AN27" s="119" t="str">
        <f t="shared" si="13"/>
        <v/>
      </c>
      <c r="AO27" s="119" t="str">
        <f t="shared" si="13"/>
        <v/>
      </c>
      <c r="AP27" s="119" t="str">
        <f t="shared" si="13"/>
        <v/>
      </c>
      <c r="AQ27" s="119" t="str">
        <f t="shared" si="13"/>
        <v/>
      </c>
      <c r="AR27" s="119" t="str">
        <f t="shared" si="13"/>
        <v/>
      </c>
      <c r="AS27" s="119" t="str">
        <f t="shared" si="13"/>
        <v/>
      </c>
      <c r="AT27" s="119" t="str">
        <f t="shared" si="13"/>
        <v/>
      </c>
      <c r="AU27" s="119" t="str">
        <f t="shared" si="13"/>
        <v/>
      </c>
      <c r="AV27" s="119" t="str">
        <f t="shared" si="13"/>
        <v/>
      </c>
      <c r="AW27" s="103"/>
    </row>
    <row r="28">
      <c r="A28" s="120" t="s">
        <v>75</v>
      </c>
      <c r="B28" s="118"/>
      <c r="C28" s="118"/>
      <c r="D28" s="121" t="str">
        <f t="shared" ref="D28:AV28" si="14">if(D6&gt;D7,D7/D6,)</f>
        <v/>
      </c>
      <c r="E28" s="121" t="str">
        <f t="shared" si="14"/>
        <v/>
      </c>
      <c r="F28" s="121" t="str">
        <f t="shared" si="14"/>
        <v/>
      </c>
      <c r="G28" s="121">
        <f t="shared" si="14"/>
        <v>0.07935685629</v>
      </c>
      <c r="H28" s="121">
        <f t="shared" si="14"/>
        <v>0.08297946654</v>
      </c>
      <c r="I28" s="121">
        <f t="shared" si="14"/>
        <v>0.08708903677</v>
      </c>
      <c r="J28" s="121">
        <f t="shared" si="14"/>
        <v>0.09178951495</v>
      </c>
      <c r="K28" s="121">
        <f t="shared" si="14"/>
        <v>0.09721653691</v>
      </c>
      <c r="L28" s="121">
        <f t="shared" si="14"/>
        <v>0.1035505069</v>
      </c>
      <c r="M28" s="121">
        <f t="shared" si="14"/>
        <v>0.1110367404</v>
      </c>
      <c r="N28" s="121">
        <f t="shared" si="14"/>
        <v>0.1200175572</v>
      </c>
      <c r="O28" s="121">
        <f t="shared" si="14"/>
        <v>0.1309855049</v>
      </c>
      <c r="P28" s="121">
        <f t="shared" si="14"/>
        <v>0.1161772175</v>
      </c>
      <c r="Q28" s="121">
        <f t="shared" si="14"/>
        <v>0.1258765185</v>
      </c>
      <c r="R28" s="121">
        <f t="shared" si="14"/>
        <v>0.137815259</v>
      </c>
      <c r="S28" s="121">
        <f t="shared" si="14"/>
        <v>0.09775402689</v>
      </c>
      <c r="T28" s="121">
        <f t="shared" si="14"/>
        <v>0.1037761174</v>
      </c>
      <c r="U28" s="121">
        <f t="shared" si="14"/>
        <v>0.1108565255</v>
      </c>
      <c r="V28" s="121">
        <f t="shared" si="14"/>
        <v>0.1192993061</v>
      </c>
      <c r="W28" s="121">
        <f t="shared" si="14"/>
        <v>0.1295369604</v>
      </c>
      <c r="X28" s="121">
        <f t="shared" si="14"/>
        <v>0.14220629</v>
      </c>
      <c r="Y28" s="121">
        <f t="shared" si="14"/>
        <v>0.1582852052</v>
      </c>
      <c r="Z28" s="121">
        <f t="shared" si="14"/>
        <v>0.1793564671</v>
      </c>
      <c r="AA28" s="121">
        <f t="shared" si="14"/>
        <v>0.2081608986</v>
      </c>
      <c r="AB28" s="121">
        <f t="shared" si="14"/>
        <v>0.2498937045</v>
      </c>
      <c r="AC28" s="121">
        <f t="shared" si="14"/>
        <v>0.1375396356</v>
      </c>
      <c r="AD28" s="121">
        <f t="shared" si="14"/>
        <v>0.1517360542</v>
      </c>
      <c r="AE28" s="121">
        <f t="shared" si="14"/>
        <v>0.1699908716</v>
      </c>
      <c r="AF28" s="121">
        <f t="shared" si="14"/>
        <v>0.1943348983</v>
      </c>
      <c r="AG28" s="121">
        <f t="shared" si="14"/>
        <v>0.2284235327</v>
      </c>
      <c r="AH28" s="121">
        <f t="shared" si="14"/>
        <v>0.2795674942</v>
      </c>
      <c r="AI28" s="121">
        <f t="shared" si="14"/>
        <v>0.3648250116</v>
      </c>
      <c r="AJ28" s="121">
        <f t="shared" si="14"/>
        <v>0.5353704958</v>
      </c>
      <c r="AK28" s="121" t="str">
        <f t="shared" si="14"/>
        <v/>
      </c>
      <c r="AL28" s="121" t="str">
        <f t="shared" si="14"/>
        <v/>
      </c>
      <c r="AM28" s="121" t="str">
        <f t="shared" si="14"/>
        <v/>
      </c>
      <c r="AN28" s="121" t="str">
        <f t="shared" si="14"/>
        <v/>
      </c>
      <c r="AO28" s="121" t="str">
        <f t="shared" si="14"/>
        <v/>
      </c>
      <c r="AP28" s="121" t="str">
        <f t="shared" si="14"/>
        <v/>
      </c>
      <c r="AQ28" s="121" t="str">
        <f t="shared" si="14"/>
        <v/>
      </c>
      <c r="AR28" s="121" t="str">
        <f t="shared" si="14"/>
        <v/>
      </c>
      <c r="AS28" s="121" t="str">
        <f t="shared" si="14"/>
        <v/>
      </c>
      <c r="AT28" s="121" t="str">
        <f t="shared" si="14"/>
        <v/>
      </c>
      <c r="AU28" s="121" t="str">
        <f t="shared" si="14"/>
        <v/>
      </c>
      <c r="AV28" s="121" t="str">
        <f t="shared" si="14"/>
        <v/>
      </c>
      <c r="AW28" s="103"/>
    </row>
    <row r="29">
      <c r="A29" s="113" t="s">
        <v>76</v>
      </c>
      <c r="B29" s="92"/>
      <c r="C29" s="92"/>
      <c r="D29" s="110" t="str">
        <f t="shared" ref="D29:AV29" si="15">if(D24=0,,(if(AND(D24&gt;0,D10&lt;268275), D8+D14+D16+D18+D20+D22,if(D10&gt;268275,D8+D9+D14+D16+D18+D20+D22))))</f>
        <v/>
      </c>
      <c r="E29" s="110" t="str">
        <f t="shared" si="15"/>
        <v/>
      </c>
      <c r="F29" s="110" t="str">
        <f t="shared" si="15"/>
        <v/>
      </c>
      <c r="G29" s="110">
        <f t="shared" si="15"/>
        <v>80381.05616</v>
      </c>
      <c r="H29" s="110">
        <f t="shared" si="15"/>
        <v>82543.61256</v>
      </c>
      <c r="I29" s="110">
        <f t="shared" si="15"/>
        <v>84760.23287</v>
      </c>
      <c r="J29" s="110">
        <f t="shared" si="15"/>
        <v>87032.26869</v>
      </c>
      <c r="K29" s="110">
        <f t="shared" si="15"/>
        <v>89361.10541</v>
      </c>
      <c r="L29" s="110">
        <f t="shared" si="15"/>
        <v>91748.16305</v>
      </c>
      <c r="M29" s="110">
        <f t="shared" si="15"/>
        <v>94194.89712</v>
      </c>
      <c r="N29" s="110">
        <f t="shared" si="15"/>
        <v>96702.79955</v>
      </c>
      <c r="O29" s="110">
        <f t="shared" si="15"/>
        <v>99273.39954</v>
      </c>
      <c r="P29" s="110">
        <f t="shared" si="15"/>
        <v>106339.0057</v>
      </c>
      <c r="Q29" s="110">
        <f t="shared" si="15"/>
        <v>109216.972</v>
      </c>
      <c r="R29" s="110">
        <f t="shared" si="15"/>
        <v>112169.5459</v>
      </c>
      <c r="S29" s="110">
        <f t="shared" si="15"/>
        <v>108219.805</v>
      </c>
      <c r="T29" s="110">
        <f t="shared" si="15"/>
        <v>111142.7776</v>
      </c>
      <c r="U29" s="110">
        <f t="shared" si="15"/>
        <v>114138.8246</v>
      </c>
      <c r="V29" s="110">
        <f t="shared" si="15"/>
        <v>117209.7727</v>
      </c>
      <c r="W29" s="110">
        <f t="shared" si="15"/>
        <v>120357.4945</v>
      </c>
      <c r="X29" s="110">
        <f t="shared" si="15"/>
        <v>123583.9094</v>
      </c>
      <c r="Y29" s="110">
        <f t="shared" si="15"/>
        <v>126890.9846</v>
      </c>
      <c r="Z29" s="110">
        <f t="shared" si="15"/>
        <v>130280.7367</v>
      </c>
      <c r="AA29" s="110">
        <f t="shared" si="15"/>
        <v>133755.2326</v>
      </c>
      <c r="AB29" s="110">
        <f t="shared" si="15"/>
        <v>137316.591</v>
      </c>
      <c r="AC29" s="110">
        <f t="shared" si="15"/>
        <v>103550.4624</v>
      </c>
      <c r="AD29" s="110">
        <f t="shared" si="15"/>
        <v>106356.7015</v>
      </c>
      <c r="AE29" s="110">
        <f t="shared" si="15"/>
        <v>109233.0965</v>
      </c>
      <c r="AF29" s="110">
        <f t="shared" si="15"/>
        <v>112181.4014</v>
      </c>
      <c r="AG29" s="110">
        <f t="shared" si="15"/>
        <v>115203.414</v>
      </c>
      <c r="AH29" s="110">
        <f t="shared" si="15"/>
        <v>118300.9768</v>
      </c>
      <c r="AI29" s="110">
        <f t="shared" si="15"/>
        <v>121475.9787</v>
      </c>
      <c r="AJ29" s="110">
        <f t="shared" si="15"/>
        <v>124730.3557</v>
      </c>
      <c r="AK29" s="110">
        <f t="shared" si="15"/>
        <v>128066.0921</v>
      </c>
      <c r="AL29" s="110">
        <f t="shared" si="15"/>
        <v>131485.2219</v>
      </c>
      <c r="AM29" s="110" t="str">
        <f t="shared" si="15"/>
        <v/>
      </c>
      <c r="AN29" s="110" t="str">
        <f t="shared" si="15"/>
        <v/>
      </c>
      <c r="AO29" s="110" t="str">
        <f t="shared" si="15"/>
        <v/>
      </c>
      <c r="AP29" s="110" t="str">
        <f t="shared" si="15"/>
        <v/>
      </c>
      <c r="AQ29" s="110" t="str">
        <f t="shared" si="15"/>
        <v/>
      </c>
      <c r="AR29" s="110" t="str">
        <f t="shared" si="15"/>
        <v/>
      </c>
      <c r="AS29" s="110" t="str">
        <f t="shared" si="15"/>
        <v/>
      </c>
      <c r="AT29" s="110" t="str">
        <f t="shared" si="15"/>
        <v/>
      </c>
      <c r="AU29" s="110" t="str">
        <f t="shared" si="15"/>
        <v/>
      </c>
      <c r="AV29" s="110" t="str">
        <f t="shared" si="15"/>
        <v/>
      </c>
      <c r="AW29" s="103"/>
    </row>
    <row r="30">
      <c r="A30" s="116" t="s">
        <v>77</v>
      </c>
      <c r="B30" s="92"/>
      <c r="C30" s="92"/>
      <c r="D30" s="122" t="str">
        <f t="shared" ref="D30:AV30" si="16">LET(
    Income, D29,
    PA_Limit, 12570,
    BR_Limit, 50270,
    HR_Limit, 125140,
    Taper_Start, 100000,
    Tapered_PA, MAX(0, PA_Limit - MAX(0, (Income - Taper_Start) / 2)),
    TaxableIncome, MAX(0, Income - Tapered_PA),
    BasicRateTax, MAX(0, MIN(TaxableIncome, BR_Limit - PA_Limit)) * 0.2,
    HigherRateBandWidth, HR_Limit - BR_Limit,
    HigherRateTax, MAX(0, MIN(TaxableIncome - (BR_Limit - PA_Limit), HigherRateBandWidth)) * 0.4,
    AdditionalRateTax, MAX(0, TaxableIncome - (HR_Limit - PA_Limit)) * 0.45,
    TotalTax, BasicRateTax + HigherRateTax + AdditionalRateTax,
    IF(OR(ISBLANK(Income), Income = 0), "", TotalTax)
)</f>
        <v/>
      </c>
      <c r="E30" s="122" t="str">
        <f t="shared" si="16"/>
        <v/>
      </c>
      <c r="F30" s="122" t="str">
        <f t="shared" si="16"/>
        <v/>
      </c>
      <c r="G30" s="122">
        <f t="shared" si="16"/>
        <v>19584.42246</v>
      </c>
      <c r="H30" s="122">
        <f t="shared" si="16"/>
        <v>20449.44502</v>
      </c>
      <c r="I30" s="122">
        <f t="shared" si="16"/>
        <v>21336.09315</v>
      </c>
      <c r="J30" s="122">
        <f t="shared" si="16"/>
        <v>22244.90748</v>
      </c>
      <c r="K30" s="122">
        <f t="shared" si="16"/>
        <v>23176.44216</v>
      </c>
      <c r="L30" s="122">
        <f t="shared" si="16"/>
        <v>24131.26522</v>
      </c>
      <c r="M30" s="122">
        <f t="shared" si="16"/>
        <v>25109.95885</v>
      </c>
      <c r="N30" s="122">
        <f t="shared" si="16"/>
        <v>26113.11982</v>
      </c>
      <c r="O30" s="122">
        <f t="shared" si="16"/>
        <v>27141.35982</v>
      </c>
      <c r="P30" s="122">
        <f t="shared" si="16"/>
        <v>31235.40344</v>
      </c>
      <c r="Q30" s="122">
        <f t="shared" si="16"/>
        <v>32962.1832</v>
      </c>
      <c r="R30" s="122">
        <f t="shared" si="16"/>
        <v>34733.72752</v>
      </c>
      <c r="S30" s="122">
        <f t="shared" si="16"/>
        <v>32363.88301</v>
      </c>
      <c r="T30" s="122">
        <f t="shared" si="16"/>
        <v>34117.66659</v>
      </c>
      <c r="U30" s="122">
        <f t="shared" si="16"/>
        <v>35915.29475</v>
      </c>
      <c r="V30" s="122">
        <f t="shared" si="16"/>
        <v>37791.59657</v>
      </c>
      <c r="W30" s="122">
        <f t="shared" si="16"/>
        <v>39916.3088</v>
      </c>
      <c r="X30" s="122">
        <f t="shared" si="16"/>
        <v>42094.13883</v>
      </c>
      <c r="Y30" s="122">
        <f t="shared" si="16"/>
        <v>43932.44308</v>
      </c>
      <c r="Z30" s="122">
        <f t="shared" si="16"/>
        <v>45457.83153</v>
      </c>
      <c r="AA30" s="122">
        <f t="shared" si="16"/>
        <v>47021.35469</v>
      </c>
      <c r="AB30" s="122">
        <f t="shared" si="16"/>
        <v>48623.96593</v>
      </c>
      <c r="AC30" s="122">
        <f t="shared" si="16"/>
        <v>29562.27746</v>
      </c>
      <c r="AD30" s="122">
        <f t="shared" si="16"/>
        <v>31246.02089</v>
      </c>
      <c r="AE30" s="122">
        <f t="shared" si="16"/>
        <v>32971.85792</v>
      </c>
      <c r="AF30" s="122">
        <f t="shared" si="16"/>
        <v>34740.84086</v>
      </c>
      <c r="AG30" s="122">
        <f t="shared" si="16"/>
        <v>36554.04838</v>
      </c>
      <c r="AH30" s="122">
        <f t="shared" si="16"/>
        <v>38528.15936</v>
      </c>
      <c r="AI30" s="122">
        <f t="shared" si="16"/>
        <v>40671.28565</v>
      </c>
      <c r="AJ30" s="122">
        <f t="shared" si="16"/>
        <v>42867.99011</v>
      </c>
      <c r="AK30" s="122">
        <f t="shared" si="16"/>
        <v>44461.24145</v>
      </c>
      <c r="AL30" s="122">
        <f t="shared" si="16"/>
        <v>45999.84986</v>
      </c>
      <c r="AM30" s="122" t="str">
        <f t="shared" si="16"/>
        <v/>
      </c>
      <c r="AN30" s="122" t="str">
        <f t="shared" si="16"/>
        <v/>
      </c>
      <c r="AO30" s="122" t="str">
        <f t="shared" si="16"/>
        <v/>
      </c>
      <c r="AP30" s="122" t="str">
        <f t="shared" si="16"/>
        <v/>
      </c>
      <c r="AQ30" s="122" t="str">
        <f t="shared" si="16"/>
        <v/>
      </c>
      <c r="AR30" s="122" t="str">
        <f t="shared" si="16"/>
        <v/>
      </c>
      <c r="AS30" s="122" t="str">
        <f t="shared" si="16"/>
        <v/>
      </c>
      <c r="AT30" s="122" t="str">
        <f t="shared" si="16"/>
        <v/>
      </c>
      <c r="AU30" s="122" t="str">
        <f t="shared" si="16"/>
        <v/>
      </c>
      <c r="AV30" s="122" t="str">
        <f t="shared" si="16"/>
        <v/>
      </c>
      <c r="AW30" s="103"/>
    </row>
    <row r="31">
      <c r="A31" s="115" t="s">
        <v>78</v>
      </c>
      <c r="B31" s="92"/>
      <c r="C31" s="92"/>
      <c r="D31" s="121" t="str">
        <f t="shared" ref="D31:AV31" si="17">if(AND(D30&gt;0, D24&gt;0),D30/D24,)</f>
        <v/>
      </c>
      <c r="E31" s="121" t="str">
        <f t="shared" si="17"/>
        <v/>
      </c>
      <c r="F31" s="121" t="str">
        <f t="shared" si="17"/>
        <v/>
      </c>
      <c r="G31" s="121">
        <f t="shared" si="17"/>
        <v>0.1802197576</v>
      </c>
      <c r="H31" s="121">
        <f t="shared" si="17"/>
        <v>0.1835901147</v>
      </c>
      <c r="I31" s="121">
        <f t="shared" si="17"/>
        <v>0.1868782679</v>
      </c>
      <c r="J31" s="121">
        <f t="shared" si="17"/>
        <v>0.1900862223</v>
      </c>
      <c r="K31" s="121">
        <f t="shared" si="17"/>
        <v>0.193215934</v>
      </c>
      <c r="L31" s="121">
        <f t="shared" si="17"/>
        <v>0.1962693111</v>
      </c>
      <c r="M31" s="121">
        <f t="shared" si="17"/>
        <v>0.1992482157</v>
      </c>
      <c r="N31" s="121">
        <f t="shared" si="17"/>
        <v>0.2021544641</v>
      </c>
      <c r="O31" s="121">
        <f t="shared" si="17"/>
        <v>0.2049898283</v>
      </c>
      <c r="P31" s="121">
        <f t="shared" si="17"/>
        <v>0.230156881</v>
      </c>
      <c r="Q31" s="121">
        <f t="shared" si="17"/>
        <v>0.236956675</v>
      </c>
      <c r="R31" s="121">
        <f t="shared" si="17"/>
        <v>0.2436018072</v>
      </c>
      <c r="S31" s="121">
        <f t="shared" si="17"/>
        <v>0.2768062445</v>
      </c>
      <c r="T31" s="121">
        <f t="shared" si="17"/>
        <v>0.284689019</v>
      </c>
      <c r="U31" s="121">
        <f t="shared" si="17"/>
        <v>0.2923795308</v>
      </c>
      <c r="V31" s="121">
        <f t="shared" si="17"/>
        <v>0.3001503847</v>
      </c>
      <c r="W31" s="121">
        <f t="shared" si="17"/>
        <v>0.3092930582</v>
      </c>
      <c r="X31" s="121">
        <f t="shared" si="17"/>
        <v>0.3182127397</v>
      </c>
      <c r="Y31" s="121">
        <f t="shared" si="17"/>
        <v>0.3240092607</v>
      </c>
      <c r="Z31" s="121">
        <f t="shared" si="17"/>
        <v>0.3270822056</v>
      </c>
      <c r="AA31" s="121">
        <f t="shared" si="17"/>
        <v>0.3300802006</v>
      </c>
      <c r="AB31" s="121">
        <f t="shared" si="17"/>
        <v>0.3330050737</v>
      </c>
      <c r="AC31" s="121">
        <f t="shared" si="17"/>
        <v>0.263362073</v>
      </c>
      <c r="AD31" s="121">
        <f t="shared" si="17"/>
        <v>0.2715727542</v>
      </c>
      <c r="AE31" s="121">
        <f t="shared" si="17"/>
        <v>0.2795831748</v>
      </c>
      <c r="AF31" s="121">
        <f t="shared" si="17"/>
        <v>0.2873982193</v>
      </c>
      <c r="AG31" s="121">
        <f t="shared" si="17"/>
        <v>0.295022653</v>
      </c>
      <c r="AH31" s="121">
        <f t="shared" si="17"/>
        <v>0.30337115</v>
      </c>
      <c r="AI31" s="121">
        <f t="shared" si="17"/>
        <v>0.3124352683</v>
      </c>
      <c r="AJ31" s="121">
        <f t="shared" si="17"/>
        <v>0.3212783105</v>
      </c>
      <c r="AK31" s="121">
        <f t="shared" si="17"/>
        <v>0.3250917925</v>
      </c>
      <c r="AL31" s="121">
        <f t="shared" si="17"/>
        <v>0.3281383341</v>
      </c>
      <c r="AM31" s="121" t="str">
        <f t="shared" si="17"/>
        <v/>
      </c>
      <c r="AN31" s="121" t="str">
        <f t="shared" si="17"/>
        <v/>
      </c>
      <c r="AO31" s="121" t="str">
        <f t="shared" si="17"/>
        <v/>
      </c>
      <c r="AP31" s="121" t="str">
        <f t="shared" si="17"/>
        <v/>
      </c>
      <c r="AQ31" s="121" t="str">
        <f t="shared" si="17"/>
        <v/>
      </c>
      <c r="AR31" s="121" t="str">
        <f t="shared" si="17"/>
        <v/>
      </c>
      <c r="AS31" s="121" t="str">
        <f t="shared" si="17"/>
        <v/>
      </c>
      <c r="AT31" s="121" t="str">
        <f t="shared" si="17"/>
        <v/>
      </c>
      <c r="AU31" s="121" t="str">
        <f t="shared" si="17"/>
        <v/>
      </c>
      <c r="AV31" s="121" t="str">
        <f t="shared" si="17"/>
        <v/>
      </c>
      <c r="AW31" s="103"/>
    </row>
    <row r="32">
      <c r="A32" s="111" t="s">
        <v>79</v>
      </c>
      <c r="B32" s="123"/>
      <c r="C32" s="123"/>
      <c r="D32" s="124" t="str">
        <f t="shared" ref="D32:AV32" si="18">if(D24&gt;0,D24-D30,)</f>
        <v/>
      </c>
      <c r="E32" s="124" t="str">
        <f t="shared" si="18"/>
        <v/>
      </c>
      <c r="F32" s="124" t="str">
        <f t="shared" si="18"/>
        <v/>
      </c>
      <c r="G32" s="124">
        <f t="shared" si="18"/>
        <v>89085.25241</v>
      </c>
      <c r="H32" s="124">
        <f t="shared" si="18"/>
        <v>90936.97172</v>
      </c>
      <c r="I32" s="124">
        <f t="shared" si="18"/>
        <v>92834.98401</v>
      </c>
      <c r="J32" s="124">
        <f t="shared" si="18"/>
        <v>94780.44662</v>
      </c>
      <c r="K32" s="124">
        <f t="shared" si="18"/>
        <v>96774.54578</v>
      </c>
      <c r="L32" s="124">
        <f t="shared" si="18"/>
        <v>98818.49742</v>
      </c>
      <c r="M32" s="124">
        <f t="shared" si="18"/>
        <v>100913.5479</v>
      </c>
      <c r="N32" s="124">
        <f t="shared" si="18"/>
        <v>103060.9746</v>
      </c>
      <c r="O32" s="124">
        <f t="shared" si="18"/>
        <v>105262.0869</v>
      </c>
      <c r="P32" s="124">
        <f t="shared" si="18"/>
        <v>104478.1295</v>
      </c>
      <c r="Q32" s="124">
        <f t="shared" si="18"/>
        <v>106144.188</v>
      </c>
      <c r="R32" s="124">
        <f t="shared" si="18"/>
        <v>107850.303</v>
      </c>
      <c r="S32" s="124">
        <f t="shared" si="18"/>
        <v>84555.02201</v>
      </c>
      <c r="T32" s="124">
        <f t="shared" si="18"/>
        <v>85724.21106</v>
      </c>
      <c r="U32" s="124">
        <f t="shared" si="18"/>
        <v>86922.62983</v>
      </c>
      <c r="V32" s="124">
        <f t="shared" si="18"/>
        <v>88117.27613</v>
      </c>
      <c r="W32" s="124">
        <f t="shared" si="18"/>
        <v>89140.28572</v>
      </c>
      <c r="X32" s="124">
        <f t="shared" si="18"/>
        <v>90188.87055</v>
      </c>
      <c r="Y32" s="124">
        <f t="shared" si="18"/>
        <v>91657.64154</v>
      </c>
      <c r="Z32" s="124">
        <f t="shared" si="18"/>
        <v>93522.0052</v>
      </c>
      <c r="AA32" s="124">
        <f t="shared" si="18"/>
        <v>95432.97796</v>
      </c>
      <c r="AB32" s="124">
        <f t="shared" si="18"/>
        <v>97391.72503</v>
      </c>
      <c r="AC32" s="124">
        <f t="shared" si="18"/>
        <v>82687.28497</v>
      </c>
      <c r="AD32" s="124">
        <f t="shared" si="18"/>
        <v>83809.7806</v>
      </c>
      <c r="AE32" s="124">
        <f t="shared" si="18"/>
        <v>84960.33861</v>
      </c>
      <c r="AF32" s="124">
        <f t="shared" si="18"/>
        <v>86139.66058</v>
      </c>
      <c r="AG32" s="124">
        <f t="shared" si="18"/>
        <v>87348.46559</v>
      </c>
      <c r="AH32" s="124">
        <f t="shared" si="18"/>
        <v>88471.91747</v>
      </c>
      <c r="AI32" s="124">
        <f t="shared" si="18"/>
        <v>89503.79309</v>
      </c>
      <c r="AJ32" s="124">
        <f t="shared" si="18"/>
        <v>90561.46561</v>
      </c>
      <c r="AK32" s="124">
        <f t="shared" si="18"/>
        <v>92303.95066</v>
      </c>
      <c r="AL32" s="124">
        <f t="shared" si="18"/>
        <v>94184.47205</v>
      </c>
      <c r="AM32" s="124" t="str">
        <f t="shared" si="18"/>
        <v/>
      </c>
      <c r="AN32" s="124" t="str">
        <f t="shared" si="18"/>
        <v/>
      </c>
      <c r="AO32" s="124" t="str">
        <f t="shared" si="18"/>
        <v/>
      </c>
      <c r="AP32" s="124" t="str">
        <f t="shared" si="18"/>
        <v/>
      </c>
      <c r="AQ32" s="124" t="str">
        <f t="shared" si="18"/>
        <v/>
      </c>
      <c r="AR32" s="124" t="str">
        <f t="shared" si="18"/>
        <v/>
      </c>
      <c r="AS32" s="124" t="str">
        <f t="shared" si="18"/>
        <v/>
      </c>
      <c r="AT32" s="124" t="str">
        <f t="shared" si="18"/>
        <v/>
      </c>
      <c r="AU32" s="124" t="str">
        <f t="shared" si="18"/>
        <v/>
      </c>
      <c r="AV32" s="124" t="str">
        <f t="shared" si="18"/>
        <v/>
      </c>
      <c r="AW32" s="125"/>
    </row>
    <row r="33">
      <c r="A33" s="111" t="s">
        <v>80</v>
      </c>
      <c r="B33" s="123"/>
      <c r="C33" s="123"/>
      <c r="D33" s="112" t="str">
        <f t="shared" ref="D33:AV33" si="19">if(D32&gt;0,D32/12,)</f>
        <v/>
      </c>
      <c r="E33" s="112" t="str">
        <f t="shared" si="19"/>
        <v/>
      </c>
      <c r="F33" s="112" t="str">
        <f t="shared" si="19"/>
        <v/>
      </c>
      <c r="G33" s="112">
        <f t="shared" si="19"/>
        <v>7423.771034</v>
      </c>
      <c r="H33" s="112">
        <f t="shared" si="19"/>
        <v>7578.080977</v>
      </c>
      <c r="I33" s="112">
        <f t="shared" si="19"/>
        <v>7736.248668</v>
      </c>
      <c r="J33" s="112">
        <f t="shared" si="19"/>
        <v>7898.370551</v>
      </c>
      <c r="K33" s="112">
        <f t="shared" si="19"/>
        <v>8064.545482</v>
      </c>
      <c r="L33" s="112">
        <f t="shared" si="19"/>
        <v>8234.874785</v>
      </c>
      <c r="M33" s="112">
        <f t="shared" si="19"/>
        <v>8409.462322</v>
      </c>
      <c r="N33" s="112">
        <f t="shared" si="19"/>
        <v>8588.414546</v>
      </c>
      <c r="O33" s="112">
        <f t="shared" si="19"/>
        <v>8771.840577</v>
      </c>
      <c r="P33" s="112">
        <f t="shared" si="19"/>
        <v>8706.510789</v>
      </c>
      <c r="Q33" s="112">
        <f t="shared" si="19"/>
        <v>8845.349003</v>
      </c>
      <c r="R33" s="112">
        <f t="shared" si="19"/>
        <v>8987.525249</v>
      </c>
      <c r="S33" s="112">
        <f t="shared" si="19"/>
        <v>7046.251834</v>
      </c>
      <c r="T33" s="112">
        <f t="shared" si="19"/>
        <v>7143.684255</v>
      </c>
      <c r="U33" s="112">
        <f t="shared" si="19"/>
        <v>7243.552486</v>
      </c>
      <c r="V33" s="112">
        <f t="shared" si="19"/>
        <v>7343.106344</v>
      </c>
      <c r="W33" s="112">
        <f t="shared" si="19"/>
        <v>7428.357143</v>
      </c>
      <c r="X33" s="112">
        <f t="shared" si="19"/>
        <v>7515.739212</v>
      </c>
      <c r="Y33" s="112">
        <f t="shared" si="19"/>
        <v>7638.136795</v>
      </c>
      <c r="Z33" s="112">
        <f t="shared" si="19"/>
        <v>7793.500433</v>
      </c>
      <c r="AA33" s="112">
        <f t="shared" si="19"/>
        <v>7952.748163</v>
      </c>
      <c r="AB33" s="112">
        <f t="shared" si="19"/>
        <v>8115.977086</v>
      </c>
      <c r="AC33" s="112">
        <f t="shared" si="19"/>
        <v>6890.607081</v>
      </c>
      <c r="AD33" s="112">
        <f t="shared" si="19"/>
        <v>6984.148383</v>
      </c>
      <c r="AE33" s="112">
        <f t="shared" si="19"/>
        <v>7080.028218</v>
      </c>
      <c r="AF33" s="112">
        <f t="shared" si="19"/>
        <v>7178.305048</v>
      </c>
      <c r="AG33" s="112">
        <f t="shared" si="19"/>
        <v>7279.038799</v>
      </c>
      <c r="AH33" s="112">
        <f t="shared" si="19"/>
        <v>7372.659789</v>
      </c>
      <c r="AI33" s="112">
        <f t="shared" si="19"/>
        <v>7458.649424</v>
      </c>
      <c r="AJ33" s="112">
        <f t="shared" si="19"/>
        <v>7546.788801</v>
      </c>
      <c r="AK33" s="112">
        <f t="shared" si="19"/>
        <v>7691.995888</v>
      </c>
      <c r="AL33" s="112">
        <f t="shared" si="19"/>
        <v>7848.706004</v>
      </c>
      <c r="AM33" s="112" t="str">
        <f t="shared" si="19"/>
        <v/>
      </c>
      <c r="AN33" s="112" t="str">
        <f t="shared" si="19"/>
        <v/>
      </c>
      <c r="AO33" s="112" t="str">
        <f t="shared" si="19"/>
        <v/>
      </c>
      <c r="AP33" s="112" t="str">
        <f t="shared" si="19"/>
        <v/>
      </c>
      <c r="AQ33" s="112" t="str">
        <f t="shared" si="19"/>
        <v/>
      </c>
      <c r="AR33" s="112" t="str">
        <f t="shared" si="19"/>
        <v/>
      </c>
      <c r="AS33" s="112" t="str">
        <f t="shared" si="19"/>
        <v/>
      </c>
      <c r="AT33" s="112" t="str">
        <f t="shared" si="19"/>
        <v/>
      </c>
      <c r="AU33" s="112" t="str">
        <f t="shared" si="19"/>
        <v/>
      </c>
      <c r="AV33" s="112" t="str">
        <f t="shared" si="19"/>
        <v/>
      </c>
      <c r="AW33" s="126"/>
    </row>
    <row r="34">
      <c r="A34" s="127" t="s">
        <v>81</v>
      </c>
      <c r="B34" s="123"/>
      <c r="C34" s="123"/>
      <c r="D34" s="112" t="str">
        <f>if(OR(D5=1,D5=2),D27*'Person 1 Calculator'!$F$9,)</f>
        <v/>
      </c>
      <c r="E34" s="112" t="str">
        <f>if(OR(E5=1,E5=2),E27*'Person 1 Calculator'!$F$9,)</f>
        <v/>
      </c>
      <c r="F34" s="112" t="str">
        <f>if(OR(F5=1,F5=2),F27*'Person 1 Calculator'!$F$9,)</f>
        <v/>
      </c>
      <c r="G34" s="112">
        <f>if(OR(G5=1,G5=2),G27*'Person 1 Calculator'!$F$9,)</f>
        <v>108669.6749</v>
      </c>
      <c r="H34" s="112">
        <f>if(OR(H5=1,H5=2),H27*'Person 1 Calculator'!$F$9,)</f>
        <v>108669.6749</v>
      </c>
      <c r="I34" s="112">
        <f>if(OR(I5=1,I5=2),I27*'Person 1 Calculator'!$F$9,)</f>
        <v>108669.6749</v>
      </c>
      <c r="J34" s="112">
        <f>if(OR(J5=1,J5=2),J27*'Person 1 Calculator'!$F$9,)</f>
        <v>108669.6749</v>
      </c>
      <c r="K34" s="112">
        <f>if(OR(K5=1,K5=2),K27*'Person 1 Calculator'!$F$9,)</f>
        <v>108669.6749</v>
      </c>
      <c r="L34" s="112">
        <f>if(OR(L5=1,L5=2),L27*'Person 1 Calculator'!$F$9,)</f>
        <v>108669.6749</v>
      </c>
      <c r="M34" s="112">
        <f>if(OR(M5=1,M5=2),M27*'Person 1 Calculator'!$F$9,)</f>
        <v>108669.6749</v>
      </c>
      <c r="N34" s="112">
        <f>if(OR(N5=1,N5=2),N27*'Person 1 Calculator'!$F$9,)</f>
        <v>108669.6749</v>
      </c>
      <c r="O34" s="112">
        <f>if(OR(O5=1,O5=2),O27*'Person 1 Calculator'!$F$9,)</f>
        <v>108669.6749</v>
      </c>
      <c r="P34" s="112">
        <f>if(OR(P5=1,P5=2),P27*'Person 1 Calculator'!$F$9,)</f>
        <v>108669.6749</v>
      </c>
      <c r="Q34" s="112">
        <f>if(OR(Q5=1,Q5=2),Q27*'Person 1 Calculator'!$F$9,)</f>
        <v>108669.6749</v>
      </c>
      <c r="R34" s="112">
        <f>if(OR(R5=1,R5=2),R27*'Person 1 Calculator'!$F$9,)</f>
        <v>108669.6749</v>
      </c>
      <c r="S34" s="112">
        <f>if(OR(S5=1,S5=2),S27*'Person 1 Calculator'!$F$9,)</f>
        <v>86935.7399</v>
      </c>
      <c r="T34" s="112">
        <f>if(OR(T5=1,T5=2),T27*'Person 1 Calculator'!$F$9,)</f>
        <v>86935.7399</v>
      </c>
      <c r="U34" s="112">
        <f>if(OR(U5=1,U5=2),U27*'Person 1 Calculator'!$F$9,)</f>
        <v>86935.7399</v>
      </c>
      <c r="V34" s="112">
        <f>if(OR(V5=1,V5=2),V27*'Person 1 Calculator'!$F$9,)</f>
        <v>86935.7399</v>
      </c>
      <c r="W34" s="112">
        <f>if(OR(W5=1,W5=2),W27*'Person 1 Calculator'!$F$9,)</f>
        <v>86935.7399</v>
      </c>
      <c r="X34" s="112">
        <f>if(OR(X5=1,X5=2),X27*'Person 1 Calculator'!$F$9,)</f>
        <v>86935.7399</v>
      </c>
      <c r="Y34" s="112">
        <f>if(OR(Y5=1,Y5=2),Y27*'Person 1 Calculator'!$F$9,)</f>
        <v>86935.7399</v>
      </c>
      <c r="Z34" s="112">
        <f>if(OR(Z5=1,Z5=2),Z27*'Person 1 Calculator'!$F$9,)</f>
        <v>86935.7399</v>
      </c>
      <c r="AA34" s="112">
        <f>if(OR(AA5=1,AA5=2),AA27*'Person 1 Calculator'!$F$9,)</f>
        <v>86935.7399</v>
      </c>
      <c r="AB34" s="112">
        <f>if(OR(AB5=1,AB5=2),AB27*'Person 1 Calculator'!$F$9,)</f>
        <v>86935.7399</v>
      </c>
      <c r="AC34" s="112">
        <f>if(OR(AC5=1,AC5=2),AC27*'Person 1 Calculator'!$F$9,)</f>
        <v>65201.80492</v>
      </c>
      <c r="AD34" s="112">
        <f>if(OR(AD5=1,AD5=2),AD27*'Person 1 Calculator'!$F$9,)</f>
        <v>65201.80492</v>
      </c>
      <c r="AE34" s="112">
        <f>if(OR(AE5=1,AE5=2),AE27*'Person 1 Calculator'!$F$9,)</f>
        <v>65201.80492</v>
      </c>
      <c r="AF34" s="112">
        <f>if(OR(AF5=1,AF5=2),AF27*'Person 1 Calculator'!$F$9,)</f>
        <v>65201.80492</v>
      </c>
      <c r="AG34" s="112">
        <f>if(OR(AG5=1,AG5=2),AG27*'Person 1 Calculator'!$F$9,)</f>
        <v>65201.80492</v>
      </c>
      <c r="AH34" s="112">
        <f>if(OR(AH5=1,AH5=2),AH27*'Person 1 Calculator'!$F$9,)</f>
        <v>65201.80492</v>
      </c>
      <c r="AI34" s="112">
        <f>if(OR(AI5=1,AI5=2),AI27*'Person 1 Calculator'!$F$9,)</f>
        <v>65201.80492</v>
      </c>
      <c r="AJ34" s="112">
        <f>if(OR(AJ5=1,AJ5=2),AJ27*'Person 1 Calculator'!$F$9,)</f>
        <v>65201.80492</v>
      </c>
      <c r="AK34" s="112">
        <f>if(OR(AK5=1,AK5=2),AK27*'Person 1 Calculator'!$F$9,)</f>
        <v>65201.80492</v>
      </c>
      <c r="AL34" s="112">
        <f>if(OR(AL5=1,AL5=2),AL27*'Person 1 Calculator'!$F$9,)</f>
        <v>65201.80492</v>
      </c>
      <c r="AM34" s="112" t="str">
        <f>if(OR(AM5=1,AM5=2),AM27*'Person 1 Calculator'!$F$9,)</f>
        <v/>
      </c>
      <c r="AN34" s="112" t="str">
        <f>if(OR(AN5=1,AN5=2),AN27*'Person 1 Calculator'!$F$9,)</f>
        <v/>
      </c>
      <c r="AO34" s="112" t="str">
        <f>if(OR(AO5=1,AO5=2),AO27*'Person 1 Calculator'!$F$9,)</f>
        <v/>
      </c>
      <c r="AP34" s="112" t="str">
        <f>if(OR(AP5=1,AP5=2),AP27*'Person 1 Calculator'!$F$9,)</f>
        <v/>
      </c>
      <c r="AQ34" s="112" t="str">
        <f>if(OR(AQ5=1,AQ5=2),AQ27*'Person 1 Calculator'!$F$9,)</f>
        <v/>
      </c>
      <c r="AR34" s="112" t="str">
        <f>if(OR(AR5=1,AR5=2),AR27*'Person 1 Calculator'!$F$9,)</f>
        <v/>
      </c>
      <c r="AS34" s="112" t="str">
        <f>if(OR(AS5=1,AS5=2),AS27*'Person 1 Calculator'!$F$9,)</f>
        <v/>
      </c>
      <c r="AT34" s="112" t="str">
        <f>if(OR(AT5=1,AT5=2),AT27*'Person 1 Calculator'!$F$9,)</f>
        <v/>
      </c>
      <c r="AU34" s="112" t="str">
        <f>if(OR(AU5=1,AU5=2),AU27*'Person 1 Calculator'!$F$9,)</f>
        <v/>
      </c>
      <c r="AV34" s="112" t="str">
        <f>if(OR(AV5=1,AV5=2),AV27*'Person 1 Calculator'!$F$9,)</f>
        <v/>
      </c>
      <c r="AW34" s="126"/>
    </row>
    <row r="35">
      <c r="A35" s="127" t="s">
        <v>82</v>
      </c>
      <c r="B35" s="123"/>
      <c r="C35" s="123"/>
      <c r="D35" s="112" t="str">
        <f>if(OR(D5=1,D5=2),D27*'Person 1 Calculator'!$D$9,)</f>
        <v/>
      </c>
      <c r="E35" s="112" t="str">
        <f>if(OR(E5=1,E5=2),E27*'Person 1 Calculator'!$D$9,)</f>
        <v/>
      </c>
      <c r="F35" s="112" t="str">
        <f>if(OR(F5=1,F5=2),F27*'Person 1 Calculator'!$D$9,)</f>
        <v/>
      </c>
      <c r="G35" s="112">
        <f>if(OR(G5=1,G5=2),G27*'Person 1 Calculator'!$D$9,)</f>
        <v>89085.25241</v>
      </c>
      <c r="H35" s="112">
        <f>if(OR(H5=1,H5=2),H27*'Person 1 Calculator'!$D$9,)</f>
        <v>89085.25241</v>
      </c>
      <c r="I35" s="112">
        <f>if(OR(I5=1,I5=2),I27*'Person 1 Calculator'!$D$9,)</f>
        <v>89085.25241</v>
      </c>
      <c r="J35" s="112">
        <f>if(OR(J5=1,J5=2),J27*'Person 1 Calculator'!$D$9,)</f>
        <v>89085.25241</v>
      </c>
      <c r="K35" s="112">
        <f>if(OR(K5=1,K5=2),K27*'Person 1 Calculator'!$D$9,)</f>
        <v>89085.25241</v>
      </c>
      <c r="L35" s="112">
        <f>if(OR(L5=1,L5=2),L27*'Person 1 Calculator'!$D$9,)</f>
        <v>89085.25241</v>
      </c>
      <c r="M35" s="112">
        <f>if(OR(M5=1,M5=2),M27*'Person 1 Calculator'!$D$9,)</f>
        <v>89085.25241</v>
      </c>
      <c r="N35" s="112">
        <f>if(OR(N5=1,N5=2),N27*'Person 1 Calculator'!$D$9,)</f>
        <v>89085.25241</v>
      </c>
      <c r="O35" s="112">
        <f>if(OR(O5=1,O5=2),O27*'Person 1 Calculator'!$D$9,)</f>
        <v>89085.25241</v>
      </c>
      <c r="P35" s="112">
        <f>if(OR(P5=1,P5=2),P27*'Person 1 Calculator'!$D$9,)</f>
        <v>89085.25241</v>
      </c>
      <c r="Q35" s="112">
        <f>if(OR(Q5=1,Q5=2),Q27*'Person 1 Calculator'!$D$9,)</f>
        <v>89085.25241</v>
      </c>
      <c r="R35" s="112">
        <f>if(OR(R5=1,R5=2),R27*'Person 1 Calculator'!$D$9,)</f>
        <v>89085.25241</v>
      </c>
      <c r="S35" s="112">
        <f>if(OR(S5=1,S5=2),S27*'Person 1 Calculator'!$D$9,)</f>
        <v>71268.20193</v>
      </c>
      <c r="T35" s="112">
        <f>if(OR(T5=1,T5=2),T27*'Person 1 Calculator'!$D$9,)</f>
        <v>71268.20193</v>
      </c>
      <c r="U35" s="112">
        <f>if(OR(U5=1,U5=2),U27*'Person 1 Calculator'!$D$9,)</f>
        <v>71268.20193</v>
      </c>
      <c r="V35" s="112">
        <f>if(OR(V5=1,V5=2),V27*'Person 1 Calculator'!$D$9,)</f>
        <v>71268.20193</v>
      </c>
      <c r="W35" s="112">
        <f>if(OR(W5=1,W5=2),W27*'Person 1 Calculator'!$D$9,)</f>
        <v>71268.20193</v>
      </c>
      <c r="X35" s="112">
        <f>if(OR(X5=1,X5=2),X27*'Person 1 Calculator'!$D$9,)</f>
        <v>71268.20193</v>
      </c>
      <c r="Y35" s="112">
        <f>if(OR(Y5=1,Y5=2),Y27*'Person 1 Calculator'!$D$9,)</f>
        <v>71268.20193</v>
      </c>
      <c r="Z35" s="112">
        <f>if(OR(Z5=1,Z5=2),Z27*'Person 1 Calculator'!$D$9,)</f>
        <v>71268.20193</v>
      </c>
      <c r="AA35" s="112">
        <f>if(OR(AA5=1,AA5=2),AA27*'Person 1 Calculator'!$D$9,)</f>
        <v>71268.20193</v>
      </c>
      <c r="AB35" s="112">
        <f>if(OR(AB5=1,AB5=2),AB27*'Person 1 Calculator'!$D$9,)</f>
        <v>71268.20193</v>
      </c>
      <c r="AC35" s="112">
        <f>if(OR(AC5=1,AC5=2),AC27*'Person 1 Calculator'!$D$9,)</f>
        <v>53451.15145</v>
      </c>
      <c r="AD35" s="112">
        <f>if(OR(AD5=1,AD5=2),AD27*'Person 1 Calculator'!$D$9,)</f>
        <v>53451.15145</v>
      </c>
      <c r="AE35" s="112">
        <f>if(OR(AE5=1,AE5=2),AE27*'Person 1 Calculator'!$D$9,)</f>
        <v>53451.15145</v>
      </c>
      <c r="AF35" s="112">
        <f>if(OR(AF5=1,AF5=2),AF27*'Person 1 Calculator'!$D$9,)</f>
        <v>53451.15145</v>
      </c>
      <c r="AG35" s="112">
        <f>if(OR(AG5=1,AG5=2),AG27*'Person 1 Calculator'!$D$9,)</f>
        <v>53451.15145</v>
      </c>
      <c r="AH35" s="112">
        <f>if(OR(AH5=1,AH5=2),AH27*'Person 1 Calculator'!$D$9,)</f>
        <v>53451.15145</v>
      </c>
      <c r="AI35" s="112">
        <f>if(OR(AI5=1,AI5=2),AI27*'Person 1 Calculator'!$D$9,)</f>
        <v>53451.15145</v>
      </c>
      <c r="AJ35" s="112">
        <f>if(OR(AJ5=1,AJ5=2),AJ27*'Person 1 Calculator'!$D$9,)</f>
        <v>53451.15145</v>
      </c>
      <c r="AK35" s="112">
        <f>if(OR(AK5=1,AK5=2),AK27*'Person 1 Calculator'!$D$9,)</f>
        <v>53451.15145</v>
      </c>
      <c r="AL35" s="112">
        <f>if(OR(AL5=1,AL5=2),AL27*'Person 1 Calculator'!$D$9,)</f>
        <v>53451.15145</v>
      </c>
      <c r="AM35" s="112" t="str">
        <f>if(OR(AM5=1,AM5=2),AM27*'Person 1 Calculator'!$D$9,)</f>
        <v/>
      </c>
      <c r="AN35" s="112" t="str">
        <f>if(OR(AN5=1,AN5=2),AN27*'Person 1 Calculator'!$D$9,)</f>
        <v/>
      </c>
      <c r="AO35" s="112" t="str">
        <f>if(OR(AO5=1,AO5=2),AO27*'Person 1 Calculator'!$D$9,)</f>
        <v/>
      </c>
      <c r="AP35" s="112" t="str">
        <f>if(OR(AP5=1,AP5=2),AP27*'Person 1 Calculator'!$D$9,)</f>
        <v/>
      </c>
      <c r="AQ35" s="112" t="str">
        <f>if(OR(AQ5=1,AQ5=2),AQ27*'Person 1 Calculator'!$D$9,)</f>
        <v/>
      </c>
      <c r="AR35" s="112" t="str">
        <f>if(OR(AR5=1,AR5=2),AR27*'Person 1 Calculator'!$D$9,)</f>
        <v/>
      </c>
      <c r="AS35" s="112" t="str">
        <f>if(OR(AS5=1,AS5=2),AS27*'Person 1 Calculator'!$D$9,)</f>
        <v/>
      </c>
      <c r="AT35" s="112" t="str">
        <f>if(OR(AT5=1,AT5=2),AT27*'Person 1 Calculator'!$D$9,)</f>
        <v/>
      </c>
      <c r="AU35" s="112" t="str">
        <f>if(OR(AU5=1,AU5=2),AU27*'Person 1 Calculator'!$D$9,)</f>
        <v/>
      </c>
      <c r="AV35" s="112" t="str">
        <f>if(OR(AV5=1,AV5=2),AV27*'Person 1 Calculator'!$D$9,)</f>
        <v/>
      </c>
      <c r="AW35" s="126"/>
    </row>
  </sheetData>
  <mergeCells count="3">
    <mergeCell ref="A1:A2"/>
    <mergeCell ref="E1:F2"/>
    <mergeCell ref="G1:G2"/>
  </mergeCells>
  <conditionalFormatting sqref="D28:AV28">
    <cfRule type="cellIs" dxfId="0" priority="1" operator="equal">
      <formula>0</formula>
    </cfRule>
  </conditionalFormatting>
  <conditionalFormatting sqref="D10:AV10">
    <cfRule type="cellIs" dxfId="1" priority="2" operator="greaterThan">
      <formula>268275</formula>
    </cfRule>
  </conditionalFormatting>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30.25"/>
    <col customWidth="1" min="3" max="3" width="10.0"/>
    <col customWidth="1" min="4" max="4" width="9.88"/>
    <col customWidth="1" min="5" max="5" width="17.75"/>
    <col customWidth="1" min="7" max="7" width="4.75"/>
    <col customWidth="1" min="8" max="8" width="8.88"/>
    <col customWidth="1" min="9" max="9" width="13.75"/>
    <col customWidth="1" min="11" max="11" width="31.75"/>
    <col customWidth="1" min="12" max="12" width="19.5"/>
  </cols>
  <sheetData>
    <row r="1" ht="36.75" customHeight="1">
      <c r="A1" s="52"/>
      <c r="B1" s="53" t="s">
        <v>83</v>
      </c>
      <c r="C1" s="54"/>
      <c r="D1" s="54"/>
      <c r="E1" s="54"/>
      <c r="F1" s="54"/>
      <c r="G1" s="54"/>
      <c r="H1" s="54"/>
      <c r="I1" s="54"/>
      <c r="J1" s="54"/>
      <c r="K1" s="54"/>
      <c r="L1" s="55"/>
    </row>
    <row r="2" ht="27.75" customHeight="1">
      <c r="A2" s="52"/>
      <c r="B2" s="56" t="s">
        <v>27</v>
      </c>
      <c r="C2" s="57"/>
      <c r="D2" s="57"/>
      <c r="E2" s="58"/>
      <c r="F2" s="59"/>
      <c r="G2" s="56"/>
      <c r="H2" s="56" t="s">
        <v>28</v>
      </c>
      <c r="I2" s="58"/>
      <c r="J2" s="58"/>
      <c r="K2" s="58"/>
      <c r="L2" s="60"/>
    </row>
    <row r="3" ht="20.25" customHeight="1">
      <c r="A3" s="52"/>
      <c r="B3" s="45" t="s">
        <v>29</v>
      </c>
      <c r="C3" s="46"/>
      <c r="D3" s="47"/>
      <c r="E3" s="61"/>
      <c r="F3" s="62">
        <v>1969.0</v>
      </c>
      <c r="G3" s="61"/>
      <c r="H3" s="61"/>
      <c r="I3" s="61"/>
      <c r="J3" s="61"/>
      <c r="K3" s="61"/>
      <c r="L3" s="63"/>
    </row>
    <row r="4" ht="20.25" customHeight="1">
      <c r="A4" s="52"/>
      <c r="B4" s="45" t="s">
        <v>30</v>
      </c>
      <c r="C4" s="46"/>
      <c r="D4" s="47"/>
      <c r="E4" s="64"/>
      <c r="F4" s="65">
        <v>2026.0</v>
      </c>
      <c r="G4" s="64"/>
      <c r="H4" s="66"/>
      <c r="I4" s="64"/>
      <c r="J4" s="64"/>
      <c r="K4" s="64"/>
      <c r="L4" s="60"/>
    </row>
    <row r="5" ht="20.25" customHeight="1">
      <c r="A5" s="52"/>
      <c r="B5" s="45" t="s">
        <v>31</v>
      </c>
      <c r="C5" s="46"/>
      <c r="D5" s="47"/>
      <c r="E5" s="64"/>
      <c r="F5" s="67">
        <v>2058.0</v>
      </c>
      <c r="G5" s="64"/>
      <c r="H5" s="64"/>
      <c r="I5" s="64"/>
      <c r="J5" s="64"/>
      <c r="K5" s="64"/>
      <c r="L5" s="60"/>
    </row>
    <row r="6" ht="20.25" customHeight="1">
      <c r="A6" s="52"/>
      <c r="B6" s="45" t="s">
        <v>32</v>
      </c>
      <c r="C6" s="46"/>
      <c r="D6" s="47"/>
      <c r="E6" s="64"/>
      <c r="F6" s="17">
        <f>F3+55</f>
        <v>2024</v>
      </c>
      <c r="G6" s="64"/>
      <c r="H6" s="64"/>
      <c r="I6" s="64"/>
      <c r="J6" s="64"/>
      <c r="K6" s="64"/>
      <c r="L6" s="60"/>
    </row>
    <row r="7" ht="20.25" customHeight="1">
      <c r="A7" s="52"/>
      <c r="B7" s="45" t="s">
        <v>33</v>
      </c>
      <c r="C7" s="46"/>
      <c r="D7" s="47"/>
      <c r="E7" s="64"/>
      <c r="F7" s="17">
        <f>F3+67</f>
        <v>2036</v>
      </c>
      <c r="G7" s="64"/>
      <c r="H7" s="64"/>
      <c r="I7" s="64"/>
      <c r="J7" s="64"/>
      <c r="K7" s="64"/>
      <c r="L7" s="60"/>
    </row>
    <row r="8" ht="20.25" customHeight="1">
      <c r="A8" s="52"/>
      <c r="B8" s="68" t="s">
        <v>34</v>
      </c>
      <c r="C8" s="69"/>
      <c r="D8" s="70"/>
      <c r="E8" s="70"/>
      <c r="F8" s="64"/>
      <c r="G8" s="64"/>
      <c r="H8" s="64"/>
      <c r="I8" s="64"/>
      <c r="J8" s="64"/>
      <c r="K8" s="64"/>
      <c r="L8" s="60"/>
    </row>
    <row r="9" ht="20.25" customHeight="1">
      <c r="A9" s="52"/>
      <c r="B9" s="71" t="s">
        <v>35</v>
      </c>
      <c r="C9" s="72" t="s">
        <v>36</v>
      </c>
      <c r="D9" s="73">
        <f>'Person 2 Draw-down'!G32</f>
        <v>18924.1</v>
      </c>
      <c r="E9" s="74" t="s">
        <v>37</v>
      </c>
      <c r="F9" s="75">
        <v>18924.1</v>
      </c>
      <c r="G9" s="64"/>
      <c r="H9" s="64"/>
      <c r="I9" s="66"/>
      <c r="J9" s="64"/>
      <c r="K9" s="64"/>
      <c r="L9" s="60"/>
    </row>
    <row r="10" ht="20.25" customHeight="1">
      <c r="A10" s="76"/>
      <c r="B10" s="77" t="s">
        <v>38</v>
      </c>
      <c r="C10" s="78" t="s">
        <v>39</v>
      </c>
      <c r="D10" s="73">
        <f>'Person 2 Draw-down'!S27*$D$9</f>
        <v>30366.11514</v>
      </c>
      <c r="E10" s="74" t="s">
        <v>40</v>
      </c>
      <c r="F10" s="75">
        <f>'Person 2 Draw-down'!S24</f>
        <v>41860.0251</v>
      </c>
      <c r="G10" s="64"/>
      <c r="H10" s="64"/>
      <c r="I10" s="128">
        <f>Income!$K$4</f>
        <v>0</v>
      </c>
      <c r="J10" s="64"/>
      <c r="K10" s="64"/>
      <c r="L10" s="60"/>
    </row>
    <row r="11" ht="20.25" customHeight="1">
      <c r="A11" s="76"/>
      <c r="B11" s="77" t="s">
        <v>41</v>
      </c>
      <c r="C11" s="78" t="s">
        <v>39</v>
      </c>
      <c r="D11" s="73">
        <f>'Person 2 Draw-down'!AC27*$D$9</f>
        <v>29147.58462</v>
      </c>
      <c r="E11" s="74" t="s">
        <v>40</v>
      </c>
      <c r="F11" s="75">
        <f>'Person 2 Draw-down'!AC24</f>
        <v>51434.1392</v>
      </c>
      <c r="G11" s="64"/>
      <c r="H11" s="64"/>
      <c r="I11" s="129">
        <f>I10</f>
        <v>0</v>
      </c>
      <c r="J11" s="66"/>
      <c r="K11" s="64"/>
      <c r="L11" s="60"/>
    </row>
    <row r="12" ht="20.25" customHeight="1">
      <c r="A12" s="76"/>
      <c r="B12" s="77" t="s">
        <v>42</v>
      </c>
      <c r="C12" s="78" t="s">
        <v>39</v>
      </c>
      <c r="D12" s="73">
        <f>'Person 2 Draw-down'!AJ27*$D$9</f>
        <v>28965.59758</v>
      </c>
      <c r="E12" s="74" t="s">
        <v>40</v>
      </c>
      <c r="F12" s="75">
        <f>'Person 2 Draw-down'!AJ24</f>
        <v>60757.29839</v>
      </c>
      <c r="G12" s="64"/>
      <c r="H12" s="80"/>
      <c r="I12" s="81"/>
      <c r="J12" s="64"/>
      <c r="K12" s="64"/>
      <c r="L12" s="60"/>
    </row>
    <row r="13" ht="20.25" customHeight="1">
      <c r="A13" s="76"/>
      <c r="B13" s="71" t="s">
        <v>43</v>
      </c>
      <c r="C13" s="46"/>
      <c r="D13" s="47"/>
      <c r="E13" s="64"/>
      <c r="F13" s="130">
        <v>0.0</v>
      </c>
      <c r="G13" s="64"/>
      <c r="H13" s="64"/>
      <c r="I13" s="66"/>
      <c r="J13" s="64"/>
      <c r="K13" s="64"/>
      <c r="L13" s="60"/>
    </row>
    <row r="14" ht="20.25" customHeight="1">
      <c r="A14" s="76"/>
      <c r="B14" s="71" t="s">
        <v>44</v>
      </c>
      <c r="C14" s="46"/>
      <c r="D14" s="47"/>
      <c r="E14" s="64"/>
      <c r="F14" s="75" t="str">
        <f>'Person 2 Draw-down'!AJ6</f>
        <v/>
      </c>
      <c r="G14" s="64"/>
      <c r="H14" s="66"/>
      <c r="I14" s="66"/>
      <c r="J14" s="64"/>
      <c r="K14" s="64"/>
      <c r="L14" s="60"/>
    </row>
    <row r="15" ht="20.25" customHeight="1">
      <c r="A15" s="76"/>
      <c r="B15" s="64"/>
      <c r="C15" s="64"/>
      <c r="D15" s="64"/>
      <c r="E15" s="64"/>
      <c r="F15" s="66"/>
      <c r="G15" s="64"/>
      <c r="H15" s="66"/>
      <c r="I15" s="64"/>
      <c r="J15" s="64"/>
      <c r="K15" s="64"/>
      <c r="L15" s="60"/>
    </row>
    <row r="16" ht="20.25" customHeight="1">
      <c r="A16" s="76"/>
      <c r="B16" s="45" t="s">
        <v>45</v>
      </c>
      <c r="C16" s="46"/>
      <c r="D16" s="47"/>
      <c r="E16" s="64"/>
      <c r="F16" s="131">
        <v>0.2</v>
      </c>
      <c r="G16" s="64"/>
      <c r="H16" s="66"/>
      <c r="I16" s="66"/>
      <c r="J16" s="66"/>
      <c r="K16" s="66"/>
      <c r="L16" s="60"/>
    </row>
    <row r="17" ht="20.25" customHeight="1">
      <c r="A17" s="76"/>
      <c r="B17" s="45" t="s">
        <v>46</v>
      </c>
      <c r="C17" s="46"/>
      <c r="D17" s="47"/>
      <c r="E17" s="64"/>
      <c r="F17" s="132">
        <v>0.4</v>
      </c>
      <c r="G17" s="64"/>
      <c r="H17" s="66"/>
      <c r="I17" s="66"/>
      <c r="J17" s="66"/>
      <c r="K17" s="66"/>
      <c r="L17" s="60"/>
    </row>
    <row r="18" ht="20.25" customHeight="1">
      <c r="A18" s="76"/>
      <c r="B18" s="85" t="s">
        <v>47</v>
      </c>
      <c r="C18" s="46"/>
      <c r="D18" s="47"/>
      <c r="E18" s="64"/>
      <c r="F18" s="133">
        <v>0.025</v>
      </c>
      <c r="G18" s="64"/>
      <c r="H18" s="66"/>
      <c r="I18" s="66"/>
      <c r="J18" s="66"/>
      <c r="K18" s="66"/>
      <c r="L18" s="60"/>
    </row>
    <row r="19" ht="20.25" customHeight="1">
      <c r="A19" s="76"/>
      <c r="B19" s="45" t="s">
        <v>48</v>
      </c>
      <c r="C19" s="46"/>
      <c r="D19" s="47"/>
      <c r="E19" s="64"/>
      <c r="F19" s="134">
        <v>0.04</v>
      </c>
      <c r="G19" s="64"/>
      <c r="H19" s="64"/>
      <c r="I19" s="64"/>
      <c r="J19" s="64"/>
      <c r="K19" s="64"/>
      <c r="L19" s="60"/>
    </row>
    <row r="20" ht="26.25" customHeight="1">
      <c r="A20" s="52"/>
      <c r="B20" s="45" t="s">
        <v>49</v>
      </c>
      <c r="C20" s="46"/>
      <c r="D20" s="47"/>
      <c r="E20" s="64"/>
      <c r="F20" s="135" t="s">
        <v>50</v>
      </c>
      <c r="G20" s="64"/>
      <c r="H20" s="64"/>
      <c r="I20" s="64"/>
      <c r="J20" s="64"/>
      <c r="K20" s="64"/>
      <c r="L20" s="52"/>
    </row>
    <row r="21" ht="28.5" customHeight="1">
      <c r="A21" s="89"/>
      <c r="B21" s="90"/>
      <c r="C21" s="90"/>
      <c r="D21" s="90"/>
      <c r="E21" s="90"/>
      <c r="F21" s="60"/>
      <c r="G21" s="52"/>
      <c r="H21" s="52"/>
      <c r="I21" s="52"/>
      <c r="J21" s="52"/>
      <c r="K21" s="52"/>
      <c r="L21" s="52"/>
    </row>
    <row r="22" ht="28.5" customHeight="1">
      <c r="A22" s="52"/>
      <c r="B22" s="52"/>
      <c r="C22" s="52"/>
      <c r="D22" s="52"/>
      <c r="E22" s="52"/>
      <c r="F22" s="52"/>
      <c r="G22" s="52"/>
      <c r="H22" s="52"/>
      <c r="I22" s="52"/>
      <c r="J22" s="52"/>
      <c r="K22" s="52"/>
      <c r="L22" s="52"/>
    </row>
    <row r="23" ht="28.5" customHeight="1">
      <c r="A23" s="90"/>
      <c r="B23" s="90"/>
      <c r="C23" s="90"/>
      <c r="D23" s="90"/>
      <c r="E23" s="90"/>
      <c r="F23" s="90"/>
      <c r="G23" s="90"/>
      <c r="H23" s="90"/>
      <c r="I23" s="90"/>
      <c r="J23" s="90"/>
      <c r="K23" s="90"/>
      <c r="L23" s="90"/>
    </row>
    <row r="24" ht="28.5" customHeight="1">
      <c r="A24" s="90"/>
      <c r="B24" s="90"/>
      <c r="C24" s="90"/>
      <c r="D24" s="90"/>
      <c r="E24" s="90"/>
      <c r="F24" s="90"/>
      <c r="G24" s="90"/>
      <c r="H24" s="90"/>
      <c r="I24" s="90"/>
      <c r="J24" s="90"/>
      <c r="K24" s="90"/>
      <c r="L24" s="90"/>
    </row>
    <row r="25" ht="28.5" customHeight="1">
      <c r="A25" s="90"/>
      <c r="B25" s="90"/>
      <c r="C25" s="90"/>
      <c r="D25" s="90"/>
      <c r="E25" s="90"/>
      <c r="F25" s="90"/>
      <c r="G25" s="90"/>
      <c r="H25" s="90"/>
      <c r="I25" s="90"/>
      <c r="J25" s="90"/>
      <c r="K25" s="90"/>
      <c r="L25" s="90"/>
    </row>
    <row r="26" ht="28.5" customHeight="1">
      <c r="A26" s="90"/>
      <c r="B26" s="90"/>
      <c r="C26" s="90"/>
      <c r="D26" s="90"/>
      <c r="E26" s="90"/>
      <c r="F26" s="90"/>
      <c r="G26" s="90"/>
      <c r="H26" s="90"/>
      <c r="I26" s="90"/>
      <c r="J26" s="90"/>
      <c r="K26" s="90"/>
      <c r="L26" s="90"/>
    </row>
    <row r="27" ht="28.5" customHeight="1">
      <c r="A27" s="90"/>
      <c r="B27" s="90"/>
      <c r="C27" s="90"/>
      <c r="D27" s="90"/>
      <c r="E27" s="90"/>
      <c r="F27" s="90"/>
      <c r="G27" s="90"/>
      <c r="H27" s="90"/>
      <c r="I27" s="90"/>
      <c r="J27" s="90"/>
      <c r="K27" s="90"/>
      <c r="L27" s="90"/>
    </row>
    <row r="28" ht="28.5" customHeight="1">
      <c r="A28" s="90"/>
      <c r="B28" s="90"/>
      <c r="C28" s="90"/>
      <c r="D28" s="90"/>
      <c r="E28" s="90"/>
      <c r="F28" s="90"/>
      <c r="G28" s="90"/>
      <c r="H28" s="90"/>
      <c r="I28" s="90"/>
      <c r="J28" s="90"/>
      <c r="K28" s="90"/>
      <c r="L28" s="90"/>
    </row>
    <row r="29" ht="28.5" customHeight="1">
      <c r="A29" s="90"/>
      <c r="B29" s="90"/>
      <c r="C29" s="90"/>
      <c r="D29" s="90"/>
      <c r="E29" s="90"/>
      <c r="F29" s="90"/>
      <c r="G29" s="90"/>
      <c r="H29" s="90"/>
      <c r="I29" s="90"/>
      <c r="J29" s="90"/>
      <c r="K29" s="90"/>
      <c r="L29" s="90"/>
    </row>
    <row r="30" ht="28.5" customHeight="1">
      <c r="A30" s="90"/>
      <c r="B30" s="90"/>
      <c r="C30" s="90"/>
      <c r="D30" s="90"/>
      <c r="E30" s="90"/>
      <c r="F30" s="90"/>
      <c r="G30" s="90"/>
      <c r="H30" s="90"/>
      <c r="I30" s="90"/>
      <c r="J30" s="90"/>
      <c r="K30" s="90"/>
      <c r="L30" s="90"/>
    </row>
    <row r="31" ht="28.5" customHeight="1">
      <c r="A31" s="90"/>
      <c r="B31" s="90"/>
      <c r="C31" s="90"/>
      <c r="D31" s="90"/>
      <c r="E31" s="90"/>
      <c r="F31" s="90"/>
      <c r="G31" s="90"/>
      <c r="H31" s="90"/>
      <c r="I31" s="90"/>
      <c r="J31" s="90"/>
      <c r="K31" s="90"/>
      <c r="L31" s="90"/>
    </row>
    <row r="32" ht="28.5" customHeight="1">
      <c r="A32" s="90"/>
      <c r="B32" s="90"/>
      <c r="C32" s="90"/>
      <c r="D32" s="90"/>
      <c r="E32" s="90"/>
      <c r="F32" s="90"/>
      <c r="G32" s="90"/>
      <c r="H32" s="90"/>
      <c r="I32" s="90"/>
      <c r="J32" s="90"/>
      <c r="K32" s="90"/>
      <c r="L32" s="90"/>
    </row>
    <row r="33" ht="28.5" customHeight="1">
      <c r="A33" s="90"/>
      <c r="B33" s="90"/>
      <c r="C33" s="90"/>
      <c r="D33" s="90"/>
      <c r="E33" s="90"/>
      <c r="F33" s="90"/>
      <c r="G33" s="90"/>
      <c r="H33" s="90"/>
      <c r="I33" s="90"/>
      <c r="J33" s="90"/>
      <c r="K33" s="90"/>
      <c r="L33" s="90"/>
    </row>
    <row r="34" ht="28.5" customHeight="1">
      <c r="A34" s="90"/>
      <c r="B34" s="90"/>
      <c r="C34" s="90"/>
      <c r="D34" s="90"/>
      <c r="E34" s="90"/>
      <c r="F34" s="90"/>
      <c r="G34" s="90"/>
      <c r="H34" s="90"/>
      <c r="I34" s="90"/>
      <c r="J34" s="90"/>
      <c r="K34" s="90"/>
      <c r="L34" s="90"/>
    </row>
    <row r="35" ht="28.5" customHeight="1">
      <c r="A35" s="90"/>
      <c r="B35" s="90"/>
      <c r="C35" s="90"/>
      <c r="D35" s="90"/>
      <c r="E35" s="90"/>
      <c r="F35" s="90"/>
      <c r="G35" s="90"/>
      <c r="H35" s="90"/>
      <c r="I35" s="90"/>
      <c r="J35" s="90"/>
      <c r="K35" s="90"/>
      <c r="L35" s="90"/>
    </row>
    <row r="36" ht="28.5" customHeight="1">
      <c r="A36" s="90"/>
      <c r="B36" s="90"/>
      <c r="C36" s="90"/>
      <c r="D36" s="90"/>
      <c r="E36" s="90"/>
      <c r="F36" s="90"/>
      <c r="G36" s="90"/>
      <c r="H36" s="90"/>
      <c r="I36" s="90"/>
      <c r="J36" s="90"/>
      <c r="K36" s="90"/>
      <c r="L36" s="90"/>
    </row>
    <row r="37" ht="28.5" customHeight="1">
      <c r="A37" s="90"/>
      <c r="B37" s="90"/>
      <c r="C37" s="90"/>
      <c r="D37" s="90"/>
      <c r="E37" s="90"/>
      <c r="F37" s="90"/>
      <c r="G37" s="90"/>
      <c r="H37" s="90"/>
      <c r="I37" s="90"/>
      <c r="J37" s="90"/>
      <c r="K37" s="90"/>
      <c r="L37" s="90"/>
    </row>
    <row r="38" ht="28.5" customHeight="1">
      <c r="A38" s="90"/>
      <c r="B38" s="90"/>
      <c r="C38" s="90"/>
      <c r="D38" s="90"/>
      <c r="E38" s="90"/>
      <c r="F38" s="90"/>
      <c r="G38" s="90"/>
      <c r="H38" s="90"/>
      <c r="I38" s="90"/>
      <c r="J38" s="90"/>
      <c r="K38" s="90"/>
      <c r="L38" s="90"/>
    </row>
    <row r="39" ht="28.5" customHeight="1">
      <c r="A39" s="90"/>
      <c r="B39" s="90"/>
      <c r="C39" s="90"/>
      <c r="D39" s="90"/>
      <c r="E39" s="90"/>
      <c r="F39" s="90"/>
      <c r="G39" s="90"/>
      <c r="H39" s="90"/>
      <c r="I39" s="90"/>
      <c r="J39" s="90"/>
      <c r="K39" s="90"/>
      <c r="L39" s="90"/>
    </row>
    <row r="40" ht="28.5" customHeight="1">
      <c r="A40" s="90"/>
      <c r="B40" s="90"/>
      <c r="C40" s="90"/>
      <c r="D40" s="90"/>
      <c r="E40" s="90"/>
      <c r="F40" s="90"/>
      <c r="G40" s="90"/>
      <c r="H40" s="90"/>
      <c r="I40" s="90"/>
      <c r="J40" s="90"/>
      <c r="K40" s="90"/>
      <c r="L40" s="90"/>
    </row>
    <row r="41" ht="28.5" customHeight="1">
      <c r="A41" s="90"/>
      <c r="B41" s="90"/>
      <c r="C41" s="90"/>
      <c r="D41" s="90"/>
      <c r="E41" s="90"/>
      <c r="F41" s="90"/>
      <c r="G41" s="90"/>
      <c r="H41" s="90"/>
      <c r="I41" s="90"/>
      <c r="J41" s="90"/>
      <c r="K41" s="90"/>
      <c r="L41" s="90"/>
    </row>
    <row r="42" ht="28.5" customHeight="1">
      <c r="A42" s="90"/>
      <c r="B42" s="90"/>
      <c r="C42" s="90"/>
      <c r="D42" s="90"/>
      <c r="E42" s="90"/>
      <c r="F42" s="90"/>
      <c r="G42" s="90"/>
      <c r="H42" s="90"/>
      <c r="I42" s="90"/>
      <c r="J42" s="90"/>
      <c r="K42" s="90"/>
      <c r="L42" s="90"/>
    </row>
    <row r="43" ht="28.5" customHeight="1">
      <c r="A43" s="90"/>
      <c r="B43" s="90"/>
      <c r="C43" s="90"/>
      <c r="D43" s="90"/>
      <c r="E43" s="90"/>
      <c r="F43" s="90"/>
      <c r="G43" s="90"/>
      <c r="H43" s="90"/>
      <c r="I43" s="90"/>
      <c r="J43" s="90"/>
      <c r="K43" s="90"/>
      <c r="L43" s="90"/>
    </row>
    <row r="44" ht="28.5" customHeight="1">
      <c r="A44" s="90"/>
      <c r="B44" s="90"/>
      <c r="C44" s="90"/>
      <c r="D44" s="90"/>
      <c r="E44" s="90"/>
      <c r="F44" s="90"/>
      <c r="G44" s="90"/>
      <c r="H44" s="90"/>
      <c r="I44" s="90"/>
      <c r="J44" s="90"/>
      <c r="K44" s="90"/>
      <c r="L44" s="90"/>
    </row>
    <row r="45" ht="28.5" customHeight="1">
      <c r="A45" s="90"/>
      <c r="B45" s="90"/>
      <c r="C45" s="90"/>
      <c r="D45" s="90"/>
      <c r="E45" s="90"/>
      <c r="F45" s="90"/>
      <c r="G45" s="90"/>
      <c r="H45" s="90"/>
      <c r="I45" s="90"/>
      <c r="J45" s="90"/>
      <c r="K45" s="90"/>
      <c r="L45" s="90"/>
    </row>
    <row r="46" ht="28.5" customHeight="1">
      <c r="A46" s="90"/>
      <c r="B46" s="90"/>
      <c r="C46" s="90"/>
      <c r="D46" s="90"/>
      <c r="E46" s="90"/>
      <c r="F46" s="90"/>
      <c r="G46" s="90"/>
      <c r="H46" s="90"/>
      <c r="I46" s="90"/>
      <c r="J46" s="90"/>
      <c r="K46" s="90"/>
      <c r="L46" s="90"/>
    </row>
    <row r="47" ht="28.5" customHeight="1">
      <c r="A47" s="90"/>
      <c r="B47" s="90"/>
      <c r="C47" s="90"/>
      <c r="D47" s="90"/>
      <c r="E47" s="90"/>
      <c r="F47" s="90"/>
      <c r="G47" s="90"/>
      <c r="H47" s="90"/>
      <c r="I47" s="90"/>
      <c r="J47" s="90"/>
      <c r="K47" s="90"/>
      <c r="L47" s="90"/>
    </row>
    <row r="48" ht="28.5" customHeight="1">
      <c r="A48" s="90"/>
      <c r="B48" s="90"/>
      <c r="C48" s="90"/>
      <c r="D48" s="90"/>
      <c r="E48" s="90"/>
      <c r="F48" s="90"/>
      <c r="G48" s="90"/>
      <c r="H48" s="90"/>
      <c r="I48" s="90"/>
      <c r="J48" s="90"/>
      <c r="K48" s="90"/>
      <c r="L48" s="90"/>
    </row>
    <row r="49" ht="28.5" customHeight="1">
      <c r="A49" s="90"/>
      <c r="B49" s="90"/>
      <c r="C49" s="90"/>
      <c r="D49" s="90"/>
      <c r="E49" s="90"/>
      <c r="F49" s="90"/>
      <c r="G49" s="90"/>
      <c r="H49" s="90"/>
      <c r="I49" s="90"/>
      <c r="J49" s="90"/>
      <c r="K49" s="90"/>
      <c r="L49" s="90"/>
    </row>
    <row r="50" ht="28.5" customHeight="1">
      <c r="A50" s="89" t="s">
        <v>52</v>
      </c>
      <c r="B50" s="136" t="s">
        <v>84</v>
      </c>
      <c r="C50" s="136" t="s">
        <v>85</v>
      </c>
      <c r="D50" s="136" t="s">
        <v>86</v>
      </c>
      <c r="E50" s="136" t="s">
        <v>87</v>
      </c>
      <c r="F50" s="136" t="s">
        <v>88</v>
      </c>
      <c r="G50" s="136" t="s">
        <v>22</v>
      </c>
      <c r="H50" s="136" t="s">
        <v>72</v>
      </c>
      <c r="I50" s="136" t="s">
        <v>47</v>
      </c>
      <c r="J50" s="136" t="s">
        <v>77</v>
      </c>
      <c r="K50" s="136" t="s">
        <v>79</v>
      </c>
      <c r="L50" s="89"/>
    </row>
    <row r="51" ht="28.5" customHeight="1">
      <c r="A51" s="89">
        <v>57.0</v>
      </c>
      <c r="B51" s="136">
        <v>7086.61</v>
      </c>
      <c r="C51" s="136">
        <v>0.0</v>
      </c>
      <c r="D51" s="136">
        <v>0.0</v>
      </c>
      <c r="E51" s="136">
        <v>0.0</v>
      </c>
      <c r="F51" s="136">
        <v>7000.0</v>
      </c>
      <c r="G51" s="136">
        <v>4837.49</v>
      </c>
      <c r="H51" s="136">
        <v>18924.1</v>
      </c>
      <c r="I51" s="136">
        <v>18924.1</v>
      </c>
      <c r="J51" s="136">
        <v>0.0</v>
      </c>
      <c r="K51" s="136">
        <v>18924.1</v>
      </c>
      <c r="L51" s="89"/>
    </row>
    <row r="52" ht="28.5" customHeight="1">
      <c r="A52" s="89">
        <v>58.0</v>
      </c>
      <c r="B52" s="136">
        <v>7086.61</v>
      </c>
      <c r="C52" s="136">
        <v>0.0</v>
      </c>
      <c r="D52" s="136">
        <v>0.0</v>
      </c>
      <c r="E52" s="136">
        <v>0.0</v>
      </c>
      <c r="F52" s="136">
        <v>7000.0</v>
      </c>
      <c r="G52" s="136">
        <v>4837.49</v>
      </c>
      <c r="H52" s="136">
        <v>18924.1</v>
      </c>
      <c r="I52" s="136">
        <v>19397.202499999996</v>
      </c>
      <c r="J52" s="136">
        <v>0.0</v>
      </c>
      <c r="K52" s="136">
        <v>18924.1</v>
      </c>
      <c r="L52" s="89"/>
    </row>
    <row r="53" ht="28.5" customHeight="1">
      <c r="A53" s="89">
        <v>59.0</v>
      </c>
      <c r="B53" s="136">
        <v>7086.61</v>
      </c>
      <c r="C53" s="136">
        <v>0.0</v>
      </c>
      <c r="D53" s="136">
        <v>0.0</v>
      </c>
      <c r="E53" s="136">
        <v>0.0</v>
      </c>
      <c r="F53" s="136">
        <v>7000.0</v>
      </c>
      <c r="G53" s="136">
        <v>4837.49</v>
      </c>
      <c r="H53" s="136">
        <v>18924.1</v>
      </c>
      <c r="I53" s="136">
        <v>19882.132562499995</v>
      </c>
      <c r="J53" s="136">
        <v>0.0</v>
      </c>
      <c r="K53" s="136">
        <v>18924.1</v>
      </c>
      <c r="L53" s="89"/>
    </row>
    <row r="54" ht="28.5" customHeight="1">
      <c r="A54" s="89">
        <v>60.0</v>
      </c>
      <c r="B54" s="136">
        <v>7086.61</v>
      </c>
      <c r="C54" s="136">
        <v>0.0</v>
      </c>
      <c r="D54" s="136">
        <v>0.0</v>
      </c>
      <c r="E54" s="136">
        <v>0.0</v>
      </c>
      <c r="F54" s="136">
        <v>7000.0</v>
      </c>
      <c r="G54" s="136">
        <v>4837.49</v>
      </c>
      <c r="H54" s="136">
        <v>18924.1</v>
      </c>
      <c r="I54" s="136">
        <v>20379.185876562493</v>
      </c>
      <c r="J54" s="136">
        <v>0.0</v>
      </c>
      <c r="K54" s="136">
        <v>18924.1</v>
      </c>
      <c r="L54" s="89"/>
    </row>
    <row r="55" ht="28.5" customHeight="1">
      <c r="A55" s="89">
        <v>61.0</v>
      </c>
      <c r="B55" s="136">
        <v>7086.61</v>
      </c>
      <c r="C55" s="136">
        <v>0.0</v>
      </c>
      <c r="D55" s="136">
        <v>0.0</v>
      </c>
      <c r="E55" s="136">
        <v>0.0</v>
      </c>
      <c r="F55" s="136">
        <v>10000.0</v>
      </c>
      <c r="G55" s="136">
        <v>4837.49</v>
      </c>
      <c r="H55" s="136">
        <v>21924.1</v>
      </c>
      <c r="I55" s="136">
        <v>20888.665523476553</v>
      </c>
      <c r="J55" s="136">
        <v>453.498</v>
      </c>
      <c r="K55" s="136">
        <v>21470.602</v>
      </c>
      <c r="L55" s="89"/>
    </row>
    <row r="56" ht="28.5" customHeight="1">
      <c r="A56" s="89">
        <v>62.0</v>
      </c>
      <c r="B56" s="136">
        <v>7086.61</v>
      </c>
      <c r="C56" s="136">
        <v>0.0</v>
      </c>
      <c r="D56" s="136">
        <v>0.0</v>
      </c>
      <c r="E56" s="136">
        <v>0.0</v>
      </c>
      <c r="F56" s="136">
        <v>10000.0</v>
      </c>
      <c r="G56" s="136">
        <v>4837.49</v>
      </c>
      <c r="H56" s="136">
        <v>21924.1</v>
      </c>
      <c r="I56" s="136">
        <v>21410.882161563466</v>
      </c>
      <c r="J56" s="136">
        <v>453.498</v>
      </c>
      <c r="K56" s="136">
        <v>21470.602</v>
      </c>
      <c r="L56" s="89"/>
    </row>
    <row r="57" ht="28.5" customHeight="1">
      <c r="A57" s="89">
        <v>63.0</v>
      </c>
      <c r="B57" s="136">
        <v>7086.61</v>
      </c>
      <c r="C57" s="136">
        <v>0.0</v>
      </c>
      <c r="D57" s="136">
        <v>0.0</v>
      </c>
      <c r="E57" s="136">
        <v>0.0</v>
      </c>
      <c r="F57" s="136">
        <v>10000.0</v>
      </c>
      <c r="G57" s="136">
        <v>4837.49</v>
      </c>
      <c r="H57" s="136">
        <v>21924.1</v>
      </c>
      <c r="I57" s="136">
        <v>21946.15421560255</v>
      </c>
      <c r="J57" s="136">
        <v>453.498</v>
      </c>
      <c r="K57" s="136">
        <v>21470.602</v>
      </c>
      <c r="L57" s="89"/>
    </row>
    <row r="58" ht="28.5" customHeight="1">
      <c r="A58" s="89">
        <v>64.0</v>
      </c>
      <c r="B58" s="136">
        <v>7086.61</v>
      </c>
      <c r="C58" s="136">
        <v>0.0</v>
      </c>
      <c r="D58" s="136">
        <v>0.0</v>
      </c>
      <c r="E58" s="136">
        <v>0.0</v>
      </c>
      <c r="F58" s="136">
        <v>10000.0</v>
      </c>
      <c r="G58" s="136">
        <v>4837.49</v>
      </c>
      <c r="H58" s="136">
        <v>21924.1</v>
      </c>
      <c r="I58" s="136">
        <v>22494.80807099261</v>
      </c>
      <c r="J58" s="136">
        <v>453.498</v>
      </c>
      <c r="K58" s="136">
        <v>21470.602</v>
      </c>
      <c r="L58" s="89"/>
    </row>
    <row r="59" ht="28.5" customHeight="1">
      <c r="A59" s="89">
        <v>65.0</v>
      </c>
      <c r="B59" s="136">
        <v>7086.61</v>
      </c>
      <c r="C59" s="136">
        <v>0.0</v>
      </c>
      <c r="D59" s="136">
        <v>0.0</v>
      </c>
      <c r="E59" s="136">
        <v>0.0</v>
      </c>
      <c r="F59" s="136">
        <v>10000.0</v>
      </c>
      <c r="G59" s="136">
        <v>4837.49</v>
      </c>
      <c r="H59" s="136">
        <v>21924.1</v>
      </c>
      <c r="I59" s="136">
        <v>23057.178272767425</v>
      </c>
      <c r="J59" s="136">
        <v>453.498</v>
      </c>
      <c r="K59" s="136">
        <v>21470.602</v>
      </c>
      <c r="L59" s="89"/>
    </row>
    <row r="60" ht="28.5" customHeight="1">
      <c r="A60" s="89">
        <v>66.0</v>
      </c>
      <c r="B60" s="136">
        <v>7086.61</v>
      </c>
      <c r="C60" s="136">
        <v>0.0</v>
      </c>
      <c r="D60" s="136">
        <v>0.0</v>
      </c>
      <c r="E60" s="136">
        <v>0.0</v>
      </c>
      <c r="F60" s="136">
        <v>10000.0</v>
      </c>
      <c r="G60" s="136">
        <v>4837.49</v>
      </c>
      <c r="H60" s="136">
        <v>21924.1</v>
      </c>
      <c r="I60" s="136">
        <v>23633.60772958661</v>
      </c>
      <c r="J60" s="136">
        <v>453.498</v>
      </c>
      <c r="K60" s="136">
        <v>21470.602</v>
      </c>
      <c r="L60" s="89"/>
    </row>
    <row r="61" ht="28.5" customHeight="1">
      <c r="A61" s="89">
        <v>67.0</v>
      </c>
      <c r="B61" s="136">
        <v>7086.61</v>
      </c>
      <c r="C61" s="136">
        <v>0.0</v>
      </c>
      <c r="D61" s="136">
        <v>17722.964823327336</v>
      </c>
      <c r="E61" s="136">
        <v>0.0</v>
      </c>
      <c r="F61" s="136">
        <v>10000.0</v>
      </c>
      <c r="G61" s="136">
        <v>4837.49</v>
      </c>
      <c r="H61" s="136">
        <v>39647.06482332733</v>
      </c>
      <c r="I61" s="136">
        <v>24224.44792282627</v>
      </c>
      <c r="J61" s="136">
        <v>3998.0909646654677</v>
      </c>
      <c r="K61" s="136">
        <v>35648.97385866186</v>
      </c>
      <c r="L61" s="89"/>
    </row>
    <row r="62" ht="28.5" customHeight="1">
      <c r="A62" s="89">
        <v>68.0</v>
      </c>
      <c r="B62" s="136">
        <v>7086.61</v>
      </c>
      <c r="C62" s="136">
        <v>0.0</v>
      </c>
      <c r="D62" s="136">
        <v>18431.88341626043</v>
      </c>
      <c r="E62" s="136">
        <v>0.0</v>
      </c>
      <c r="F62" s="136">
        <v>10000.0</v>
      </c>
      <c r="G62" s="136">
        <v>4837.49</v>
      </c>
      <c r="H62" s="136">
        <v>40355.98341626043</v>
      </c>
      <c r="I62" s="136">
        <v>24830.059120896927</v>
      </c>
      <c r="J62" s="136">
        <v>4139.8746832520865</v>
      </c>
      <c r="K62" s="136">
        <v>36216.10873300835</v>
      </c>
      <c r="L62" s="89"/>
    </row>
    <row r="63" ht="28.5" customHeight="1">
      <c r="A63" s="89">
        <v>69.0</v>
      </c>
      <c r="B63" s="136">
        <v>7086.61</v>
      </c>
      <c r="C63" s="136">
        <v>0.0</v>
      </c>
      <c r="D63" s="136">
        <v>19169.158752910847</v>
      </c>
      <c r="E63" s="136">
        <v>0.0</v>
      </c>
      <c r="F63" s="136">
        <v>10000.0</v>
      </c>
      <c r="G63" s="136">
        <v>4837.49</v>
      </c>
      <c r="H63" s="136">
        <v>41093.25875291085</v>
      </c>
      <c r="I63" s="136">
        <v>25450.810598919346</v>
      </c>
      <c r="J63" s="136">
        <v>4287.32975058217</v>
      </c>
      <c r="K63" s="136">
        <v>36805.92900232868</v>
      </c>
      <c r="L63" s="89"/>
    </row>
    <row r="64" ht="28.5" customHeight="1">
      <c r="A64" s="89">
        <v>70.0</v>
      </c>
      <c r="B64" s="136">
        <v>7086.61</v>
      </c>
      <c r="C64" s="136">
        <v>0.0</v>
      </c>
      <c r="D64" s="136">
        <v>19935.925103027283</v>
      </c>
      <c r="E64" s="136">
        <v>0.0</v>
      </c>
      <c r="F64" s="136">
        <v>10000.0</v>
      </c>
      <c r="G64" s="136">
        <v>4837.49</v>
      </c>
      <c r="H64" s="136">
        <v>41860.025103027285</v>
      </c>
      <c r="I64" s="136">
        <v>26087.080863892326</v>
      </c>
      <c r="J64" s="136">
        <v>4440.683020605457</v>
      </c>
      <c r="K64" s="136">
        <v>37419.34208242183</v>
      </c>
      <c r="L64" s="89"/>
    </row>
    <row r="65" ht="28.5" customHeight="1">
      <c r="A65" s="89">
        <v>71.0</v>
      </c>
      <c r="B65" s="136">
        <v>7086.61</v>
      </c>
      <c r="C65" s="136">
        <v>0.0</v>
      </c>
      <c r="D65" s="136">
        <v>20733.362107148376</v>
      </c>
      <c r="E65" s="136">
        <v>0.0</v>
      </c>
      <c r="F65" s="136">
        <v>10000.0</v>
      </c>
      <c r="G65" s="136">
        <v>4837.49</v>
      </c>
      <c r="H65" s="136">
        <v>42657.46210714838</v>
      </c>
      <c r="I65" s="136">
        <v>26739.25788548963</v>
      </c>
      <c r="J65" s="136">
        <v>4600.170421429676</v>
      </c>
      <c r="K65" s="136">
        <v>38057.2916857187</v>
      </c>
      <c r="L65" s="89"/>
    </row>
    <row r="66" ht="28.5" customHeight="1">
      <c r="A66" s="89">
        <v>72.0</v>
      </c>
      <c r="B66" s="136">
        <v>7086.61</v>
      </c>
      <c r="C66" s="136">
        <v>0.0</v>
      </c>
      <c r="D66" s="136">
        <v>21562.696591434313</v>
      </c>
      <c r="E66" s="136">
        <v>0.0</v>
      </c>
      <c r="F66" s="136">
        <v>10000.0</v>
      </c>
      <c r="G66" s="136">
        <v>4837.49</v>
      </c>
      <c r="H66" s="136">
        <v>43486.796591434315</v>
      </c>
      <c r="I66" s="136">
        <v>27407.73933262687</v>
      </c>
      <c r="J66" s="136">
        <v>4766.037318286863</v>
      </c>
      <c r="K66" s="136">
        <v>38720.75927314745</v>
      </c>
      <c r="L66" s="89"/>
    </row>
    <row r="67" ht="28.5" customHeight="1">
      <c r="A67" s="89">
        <v>73.0</v>
      </c>
      <c r="B67" s="136">
        <v>7086.61</v>
      </c>
      <c r="C67" s="136">
        <v>0.0</v>
      </c>
      <c r="D67" s="136">
        <v>22425.204455091687</v>
      </c>
      <c r="E67" s="136">
        <v>0.0</v>
      </c>
      <c r="F67" s="136">
        <v>10000.0</v>
      </c>
      <c r="G67" s="136">
        <v>4837.49</v>
      </c>
      <c r="H67" s="136">
        <v>44349.30445509169</v>
      </c>
      <c r="I67" s="136">
        <v>28092.93281594254</v>
      </c>
      <c r="J67" s="136">
        <v>4938.538891018338</v>
      </c>
      <c r="K67" s="136">
        <v>39410.76556407335</v>
      </c>
      <c r="L67" s="89"/>
    </row>
    <row r="68" ht="28.5" customHeight="1">
      <c r="A68" s="89">
        <v>74.0</v>
      </c>
      <c r="B68" s="136">
        <v>7086.61</v>
      </c>
      <c r="C68" s="136">
        <v>0.0</v>
      </c>
      <c r="D68" s="136">
        <v>23322.212633295356</v>
      </c>
      <c r="E68" s="136">
        <v>0.0</v>
      </c>
      <c r="F68" s="136">
        <v>10000.0</v>
      </c>
      <c r="G68" s="136">
        <v>4837.49</v>
      </c>
      <c r="H68" s="136">
        <v>45246.312633295354</v>
      </c>
      <c r="I68" s="136">
        <v>28795.2561363411</v>
      </c>
      <c r="J68" s="136">
        <v>5117.940526659071</v>
      </c>
      <c r="K68" s="136">
        <v>40128.372106636285</v>
      </c>
      <c r="L68" s="89"/>
    </row>
    <row r="69" ht="28.5" customHeight="1">
      <c r="A69" s="89">
        <v>75.0</v>
      </c>
      <c r="B69" s="136">
        <v>7086.61</v>
      </c>
      <c r="C69" s="136">
        <v>0.0</v>
      </c>
      <c r="D69" s="136">
        <v>24255.10113862717</v>
      </c>
      <c r="E69" s="136">
        <v>0.0</v>
      </c>
      <c r="F69" s="136">
        <v>10000.0</v>
      </c>
      <c r="G69" s="136">
        <v>4837.49</v>
      </c>
      <c r="H69" s="136">
        <v>46179.20113862717</v>
      </c>
      <c r="I69" s="136">
        <v>29515.137539749627</v>
      </c>
      <c r="J69" s="136">
        <v>5304.518227725434</v>
      </c>
      <c r="K69" s="136">
        <v>40874.682910901734</v>
      </c>
      <c r="L69" s="89"/>
    </row>
    <row r="70" ht="28.5" customHeight="1">
      <c r="A70" s="89">
        <v>76.0</v>
      </c>
      <c r="B70" s="136">
        <v>7086.61</v>
      </c>
      <c r="C70" s="136">
        <v>0.0</v>
      </c>
      <c r="D70" s="136">
        <v>25225.30518417226</v>
      </c>
      <c r="E70" s="136">
        <v>0.0</v>
      </c>
      <c r="F70" s="136">
        <v>10000.0</v>
      </c>
      <c r="G70" s="136">
        <v>4837.49</v>
      </c>
      <c r="H70" s="136">
        <v>47149.40518417226</v>
      </c>
      <c r="I70" s="136">
        <v>30253.015978243366</v>
      </c>
      <c r="J70" s="136">
        <v>5498.559036834453</v>
      </c>
      <c r="K70" s="136">
        <v>41650.84614733781</v>
      </c>
      <c r="L70" s="89"/>
    </row>
    <row r="71" ht="28.5" customHeight="1">
      <c r="A71" s="89">
        <v>77.0</v>
      </c>
      <c r="B71" s="136">
        <v>7086.61</v>
      </c>
      <c r="C71" s="136">
        <v>0.0</v>
      </c>
      <c r="D71" s="136">
        <v>26234.31739153915</v>
      </c>
      <c r="E71" s="136">
        <v>0.0</v>
      </c>
      <c r="F71" s="136">
        <v>10000.0</v>
      </c>
      <c r="G71" s="136">
        <v>4837.49</v>
      </c>
      <c r="H71" s="136">
        <v>48158.417391539144</v>
      </c>
      <c r="I71" s="136">
        <v>31009.341377699446</v>
      </c>
      <c r="J71" s="136">
        <v>5700.36147830783</v>
      </c>
      <c r="K71" s="136">
        <v>42458.055913231314</v>
      </c>
      <c r="L71" s="89"/>
    </row>
    <row r="72" ht="28.5" customHeight="1">
      <c r="A72" s="89">
        <v>78.0</v>
      </c>
      <c r="B72" s="136">
        <v>7086.61</v>
      </c>
      <c r="C72" s="136">
        <v>0.0</v>
      </c>
      <c r="D72" s="136">
        <v>27283.690087200717</v>
      </c>
      <c r="E72" s="136">
        <v>0.0</v>
      </c>
      <c r="F72" s="136">
        <v>10000.0</v>
      </c>
      <c r="G72" s="136">
        <v>4837.49</v>
      </c>
      <c r="H72" s="136">
        <v>49207.790087200716</v>
      </c>
      <c r="I72" s="136">
        <v>31784.57491214193</v>
      </c>
      <c r="J72" s="136">
        <v>5910.236017440144</v>
      </c>
      <c r="K72" s="136">
        <v>43297.554069760576</v>
      </c>
      <c r="L72" s="89"/>
    </row>
    <row r="73" ht="28.5" customHeight="1">
      <c r="A73" s="89">
        <v>79.0</v>
      </c>
      <c r="B73" s="136">
        <v>7086.61</v>
      </c>
      <c r="C73" s="136">
        <v>0.0</v>
      </c>
      <c r="D73" s="136">
        <v>28375.037690688747</v>
      </c>
      <c r="E73" s="136">
        <v>0.0</v>
      </c>
      <c r="F73" s="136">
        <v>10000.0</v>
      </c>
      <c r="G73" s="136">
        <v>4837.49</v>
      </c>
      <c r="H73" s="136">
        <v>50299.137690688745</v>
      </c>
      <c r="I73" s="136">
        <v>32579.189284945474</v>
      </c>
      <c r="J73" s="136">
        <v>6128.50553813775</v>
      </c>
      <c r="K73" s="136">
        <v>44170.632152551</v>
      </c>
      <c r="L73" s="89"/>
    </row>
    <row r="74" ht="28.5" customHeight="1">
      <c r="A74" s="89">
        <v>80.0</v>
      </c>
      <c r="B74" s="136">
        <v>7086.61</v>
      </c>
      <c r="C74" s="136">
        <v>0.0</v>
      </c>
      <c r="D74" s="136">
        <v>29510.0391983163</v>
      </c>
      <c r="E74" s="136">
        <v>0.0</v>
      </c>
      <c r="F74" s="136">
        <v>10000.0</v>
      </c>
      <c r="G74" s="136">
        <v>4837.49</v>
      </c>
      <c r="H74" s="136">
        <v>51434.1391983163</v>
      </c>
      <c r="I74" s="136">
        <v>33393.66901706911</v>
      </c>
      <c r="J74" s="136">
        <v>6355.505839663259</v>
      </c>
      <c r="K74" s="136">
        <v>45078.63335865304</v>
      </c>
      <c r="L74" s="89"/>
    </row>
    <row r="75" ht="28.5" customHeight="1">
      <c r="A75" s="89">
        <v>81.0</v>
      </c>
      <c r="B75" s="136">
        <v>7086.61</v>
      </c>
      <c r="C75" s="136">
        <v>0.0</v>
      </c>
      <c r="D75" s="136">
        <v>30690.44076624895</v>
      </c>
      <c r="E75" s="136">
        <v>0.0</v>
      </c>
      <c r="F75" s="136">
        <v>10000.0</v>
      </c>
      <c r="G75" s="136">
        <v>4837.49</v>
      </c>
      <c r="H75" s="136">
        <v>52614.540766248945</v>
      </c>
      <c r="I75" s="136">
        <v>34228.51074249583</v>
      </c>
      <c r="J75" s="136">
        <v>6591.586153249791</v>
      </c>
      <c r="K75" s="136">
        <v>46022.95461299915</v>
      </c>
      <c r="L75" s="89"/>
    </row>
    <row r="76" ht="28.5" customHeight="1">
      <c r="A76" s="89">
        <v>82.0</v>
      </c>
      <c r="B76" s="136">
        <v>7086.61</v>
      </c>
      <c r="C76" s="136">
        <v>0.0</v>
      </c>
      <c r="D76" s="136">
        <v>31918.05839689891</v>
      </c>
      <c r="E76" s="136">
        <v>0.0</v>
      </c>
      <c r="F76" s="136">
        <v>10000.0</v>
      </c>
      <c r="G76" s="136">
        <v>4837.49</v>
      </c>
      <c r="H76" s="136">
        <v>53842.15839689891</v>
      </c>
      <c r="I76" s="136">
        <v>35084.223511058226</v>
      </c>
      <c r="J76" s="136">
        <v>6837.1096793797815</v>
      </c>
      <c r="K76" s="136">
        <v>47005.04871751912</v>
      </c>
      <c r="L76" s="89"/>
    </row>
    <row r="77" ht="28.5" customHeight="1">
      <c r="A77" s="89">
        <v>83.0</v>
      </c>
      <c r="B77" s="136">
        <v>7086.61</v>
      </c>
      <c r="C77" s="136">
        <v>0.0</v>
      </c>
      <c r="D77" s="136">
        <v>33194.78073277487</v>
      </c>
      <c r="E77" s="136">
        <v>0.0</v>
      </c>
      <c r="F77" s="136">
        <v>10000.0</v>
      </c>
      <c r="G77" s="136">
        <v>4837.49</v>
      </c>
      <c r="H77" s="136">
        <v>55118.880732774865</v>
      </c>
      <c r="I77" s="136">
        <v>35961.32909883468</v>
      </c>
      <c r="J77" s="136">
        <v>7092.454146554974</v>
      </c>
      <c r="K77" s="136">
        <v>48026.426586219895</v>
      </c>
      <c r="L77" s="89"/>
    </row>
    <row r="78" ht="28.5" customHeight="1">
      <c r="A78" s="89">
        <v>84.0</v>
      </c>
      <c r="B78" s="136">
        <v>7086.61</v>
      </c>
      <c r="C78" s="136">
        <v>0.0</v>
      </c>
      <c r="D78" s="136">
        <v>34522.571962085865</v>
      </c>
      <c r="E78" s="136">
        <v>0.0</v>
      </c>
      <c r="F78" s="136">
        <v>10000.0</v>
      </c>
      <c r="G78" s="136">
        <v>4837.49</v>
      </c>
      <c r="H78" s="136">
        <v>56446.671962085864</v>
      </c>
      <c r="I78" s="136">
        <v>36860.36232630554</v>
      </c>
      <c r="J78" s="136">
        <v>7358.012392417173</v>
      </c>
      <c r="K78" s="136">
        <v>49088.65956966869</v>
      </c>
      <c r="L78" s="89"/>
    </row>
    <row r="79" ht="28.5" customHeight="1">
      <c r="A79" s="89">
        <v>85.0</v>
      </c>
      <c r="B79" s="136">
        <v>7086.61</v>
      </c>
      <c r="C79" s="136">
        <v>0.0</v>
      </c>
      <c r="D79" s="136">
        <v>35903.4748405693</v>
      </c>
      <c r="E79" s="136">
        <v>0.0</v>
      </c>
      <c r="F79" s="136">
        <v>10000.0</v>
      </c>
      <c r="G79" s="136">
        <v>4837.49</v>
      </c>
      <c r="H79" s="136">
        <v>57827.5748405693</v>
      </c>
      <c r="I79" s="136">
        <v>37781.87138446318</v>
      </c>
      <c r="J79" s="136">
        <v>7728.38593622772</v>
      </c>
      <c r="K79" s="136">
        <v>50099.18890434158</v>
      </c>
      <c r="L79" s="89"/>
    </row>
    <row r="80" ht="28.5" customHeight="1">
      <c r="A80" s="89">
        <v>86.0</v>
      </c>
      <c r="B80" s="136">
        <v>7086.61</v>
      </c>
      <c r="C80" s="136">
        <v>0.0</v>
      </c>
      <c r="D80" s="136">
        <v>37339.613834192074</v>
      </c>
      <c r="E80" s="136">
        <v>0.0</v>
      </c>
      <c r="F80" s="136">
        <v>10000.0</v>
      </c>
      <c r="G80" s="136">
        <v>4837.49</v>
      </c>
      <c r="H80" s="136">
        <v>59263.71383419207</v>
      </c>
      <c r="I80" s="136">
        <v>38726.41816907476</v>
      </c>
      <c r="J80" s="136">
        <v>8302.841533676828</v>
      </c>
      <c r="K80" s="136">
        <v>50960.87230051524</v>
      </c>
      <c r="L80" s="89"/>
    </row>
    <row r="81" ht="28.5" customHeight="1">
      <c r="A81" s="89">
        <v>87.0</v>
      </c>
      <c r="B81" s="136">
        <v>7086.61</v>
      </c>
      <c r="C81" s="136">
        <v>0.0</v>
      </c>
      <c r="D81" s="136">
        <v>38833.19838755976</v>
      </c>
      <c r="E81" s="136">
        <v>0.0</v>
      </c>
      <c r="F81" s="136">
        <v>10000.0</v>
      </c>
      <c r="G81" s="136">
        <v>4837.49</v>
      </c>
      <c r="H81" s="136">
        <v>60757.29838755976</v>
      </c>
      <c r="I81" s="136">
        <v>39694.578623301626</v>
      </c>
      <c r="J81" s="136">
        <v>8900.275355023903</v>
      </c>
      <c r="K81" s="136">
        <v>51857.02303253586</v>
      </c>
      <c r="L81" s="89"/>
    </row>
    <row r="82" ht="28.5" customHeight="1">
      <c r="A82" s="89">
        <v>88.0</v>
      </c>
      <c r="B82" s="136">
        <v>7086.61</v>
      </c>
      <c r="C82" s="136">
        <v>0.0</v>
      </c>
      <c r="D82" s="136">
        <v>40386.52632306215</v>
      </c>
      <c r="E82" s="136">
        <v>0.0</v>
      </c>
      <c r="F82" s="136">
        <v>10000.0</v>
      </c>
      <c r="G82" s="136">
        <v>4837.49</v>
      </c>
      <c r="H82" s="136">
        <v>62310.62632306215</v>
      </c>
      <c r="I82" s="136">
        <v>40686.94308888416</v>
      </c>
      <c r="J82" s="136">
        <v>9521.606529224859</v>
      </c>
      <c r="K82" s="136">
        <v>52789.01979383729</v>
      </c>
      <c r="L82" s="89"/>
    </row>
    <row r="83" ht="28.5" customHeight="1">
      <c r="A83" s="89">
        <v>88.0</v>
      </c>
      <c r="B83" s="136">
        <v>22155.43334922208</v>
      </c>
      <c r="C83" s="136">
        <v>0.0</v>
      </c>
      <c r="D83" s="136">
        <v>40386.52632306215</v>
      </c>
      <c r="E83" s="136">
        <v>0.0</v>
      </c>
      <c r="F83" s="136">
        <v>10000.0</v>
      </c>
      <c r="G83" s="136">
        <v>9373.506561394603</v>
      </c>
      <c r="H83" s="136">
        <v>81915.46623367883</v>
      </c>
      <c r="I83" s="136">
        <v>69482.12006864331</v>
      </c>
      <c r="J83" s="136">
        <v>9438.006576891352</v>
      </c>
      <c r="K83" s="136">
        <v>72477.45965678748</v>
      </c>
      <c r="L83" s="89"/>
    </row>
    <row r="84" ht="28.5" customHeight="1">
      <c r="A84" s="89">
        <v>89.0</v>
      </c>
      <c r="B84" s="136">
        <v>40904.28465706011</v>
      </c>
      <c r="C84" s="136">
        <v>133483.48935756527</v>
      </c>
      <c r="D84" s="136">
        <v>136307.91416313767</v>
      </c>
      <c r="E84" s="136">
        <v>21981.04959647981</v>
      </c>
      <c r="F84" s="136">
        <v>111502.43976108546</v>
      </c>
      <c r="G84" s="136">
        <v>6497.492664746306</v>
      </c>
      <c r="H84" s="136">
        <v>68344.10396580289</v>
      </c>
      <c r="I84" s="136">
        <v>0.14753685776377584</v>
      </c>
      <c r="J84" s="136">
        <v>4855.069135000626</v>
      </c>
      <c r="K84" s="89"/>
      <c r="L84" s="89"/>
    </row>
    <row r="85" ht="28.5" customHeight="1">
      <c r="A85" s="89">
        <v>90.0</v>
      </c>
      <c r="B85" s="136">
        <v>44415.692990389485</v>
      </c>
      <c r="C85" s="136">
        <v>139715.6120172161</v>
      </c>
      <c r="D85" s="136">
        <v>139715.6120172161</v>
      </c>
      <c r="E85" s="136">
        <v>23227.474128409973</v>
      </c>
      <c r="F85" s="136">
        <v>116488.13788880613</v>
      </c>
      <c r="G85" s="136">
        <v>6497.492664746306</v>
      </c>
      <c r="H85" s="136">
        <v>70203.65912837212</v>
      </c>
      <c r="I85" s="136">
        <v>0.14892650195328427</v>
      </c>
      <c r="J85" s="136">
        <v>4979.039479171909</v>
      </c>
      <c r="K85" s="89"/>
      <c r="L85" s="89"/>
    </row>
    <row r="86" ht="28.5" customHeight="1">
      <c r="A86" s="89">
        <v>90.0</v>
      </c>
      <c r="B86" s="136">
        <v>18838.55444280531</v>
      </c>
      <c r="C86" s="136">
        <v>118396.24118024537</v>
      </c>
      <c r="D86" s="136">
        <v>147995.3014753067</v>
      </c>
      <c r="E86" s="136">
        <v>18080.227619178386</v>
      </c>
      <c r="F86" s="136">
        <v>100316.01356106698</v>
      </c>
      <c r="G86" s="136"/>
      <c r="H86" s="136"/>
      <c r="I86" s="136"/>
      <c r="J86" s="89"/>
      <c r="K86" s="89"/>
      <c r="L86" s="89"/>
    </row>
    <row r="87" ht="28.5" customHeight="1">
      <c r="A87" s="89"/>
      <c r="B87" s="136"/>
      <c r="C87" s="136"/>
      <c r="D87" s="136"/>
      <c r="E87" s="136"/>
      <c r="F87" s="136"/>
      <c r="G87" s="136"/>
      <c r="H87" s="136"/>
      <c r="I87" s="136"/>
      <c r="J87" s="89"/>
      <c r="K87" s="89"/>
      <c r="L87" s="89"/>
    </row>
    <row r="88" ht="28.5" customHeight="1">
      <c r="A88" s="89"/>
      <c r="B88" s="136"/>
      <c r="C88" s="136"/>
      <c r="D88" s="136"/>
      <c r="E88" s="136"/>
      <c r="F88" s="136"/>
      <c r="G88" s="136"/>
      <c r="H88" s="136"/>
      <c r="I88" s="136"/>
      <c r="J88" s="89"/>
      <c r="K88" s="89"/>
      <c r="L88" s="89"/>
    </row>
    <row r="89" ht="28.5" customHeight="1">
      <c r="A89" s="89"/>
      <c r="B89" s="136"/>
      <c r="C89" s="136"/>
      <c r="D89" s="136"/>
      <c r="E89" s="136"/>
      <c r="F89" s="136"/>
      <c r="G89" s="136"/>
      <c r="H89" s="136"/>
      <c r="I89" s="136"/>
      <c r="J89" s="89"/>
      <c r="K89" s="89"/>
      <c r="L89" s="89"/>
    </row>
    <row r="90" ht="28.5" customHeight="1">
      <c r="A90" s="89"/>
      <c r="B90" s="136"/>
      <c r="C90" s="136"/>
      <c r="D90" s="136"/>
      <c r="E90" s="136"/>
      <c r="F90" s="136"/>
      <c r="G90" s="136"/>
      <c r="H90" s="136"/>
      <c r="I90" s="136"/>
      <c r="J90" s="89"/>
      <c r="K90" s="89"/>
      <c r="L90" s="89"/>
    </row>
    <row r="91" ht="28.5" customHeight="1">
      <c r="A91" s="89"/>
      <c r="B91" s="136"/>
      <c r="C91" s="136"/>
      <c r="D91" s="136"/>
      <c r="E91" s="136"/>
      <c r="F91" s="136"/>
      <c r="G91" s="136"/>
      <c r="H91" s="136"/>
      <c r="I91" s="136"/>
      <c r="J91" s="89"/>
      <c r="K91" s="89"/>
      <c r="L91" s="89"/>
    </row>
  </sheetData>
  <mergeCells count="15">
    <mergeCell ref="B7:D7"/>
    <mergeCell ref="B13:D13"/>
    <mergeCell ref="B14:D14"/>
    <mergeCell ref="B16:D16"/>
    <mergeCell ref="B17:D17"/>
    <mergeCell ref="B18:D18"/>
    <mergeCell ref="B19:D19"/>
    <mergeCell ref="B20:D20"/>
    <mergeCell ref="B1:L1"/>
    <mergeCell ref="D2:F2"/>
    <mergeCell ref="H2:K2"/>
    <mergeCell ref="B3:D3"/>
    <mergeCell ref="B4:D4"/>
    <mergeCell ref="B5:D5"/>
    <mergeCell ref="B6:D6"/>
  </mergeCells>
  <conditionalFormatting sqref="B15:F17 B19:F20 B13:F14">
    <cfRule type="expression" dxfId="2" priority="1">
      <formula>$I$10=0</formula>
    </cfRule>
  </conditionalFormatting>
  <dataValidations>
    <dataValidation type="custom" allowBlank="1" showDropDown="1" showInputMessage="1" showErrorMessage="1" prompt="Enter a Year of Birth that allows for a Start-Draw-down year that's 55 years ahead of Year of Birth" sqref="F3">
      <formula1>OR(ISBLANK(F4), F4&gt;=$F$3+55)</formula1>
    </dataValidation>
    <dataValidation type="custom" allowBlank="1" showDropDown="1" showInputMessage="1" showErrorMessage="1" prompt="Maximum Draw-down end is 99 years after Year of Birth. It must also be later than draw-down start" sqref="F5">
      <formula1>AND(F5&gt;=F4, F5-F3&lt;=99)</formula1>
    </dataValidation>
    <dataValidation type="custom" allowBlank="1" showDropDown="1" showInputMessage="1" showErrorMessage="1" prompt="Draw-down must start at least 55 years after Year of Birth" sqref="F4">
      <formula1>OR(ISBLANK(F4), F4&gt;=$F$3+55)</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75"/>
  <cols>
    <col customWidth="1" min="1" max="1" width="27.88"/>
    <col customWidth="1" min="2" max="2" width="2.0"/>
    <col customWidth="1" min="3" max="3" width="2.5"/>
    <col customWidth="1" min="7" max="7" width="14.5"/>
  </cols>
  <sheetData>
    <row r="1">
      <c r="A1" s="91" t="s">
        <v>89</v>
      </c>
      <c r="B1" s="92"/>
      <c r="C1" s="92"/>
      <c r="D1" s="92"/>
      <c r="E1" s="93"/>
      <c r="F1" s="94"/>
      <c r="G1" s="95"/>
      <c r="H1" s="92"/>
      <c r="I1" s="92"/>
      <c r="J1" s="96"/>
      <c r="K1" s="92"/>
      <c r="L1" s="92"/>
      <c r="M1" s="92"/>
      <c r="N1" s="92"/>
      <c r="O1" s="92"/>
      <c r="P1" s="92"/>
      <c r="Q1" s="92"/>
      <c r="R1" s="92"/>
      <c r="S1" s="92"/>
      <c r="T1" s="92"/>
      <c r="U1" s="92"/>
      <c r="V1" s="92"/>
      <c r="W1" s="92"/>
      <c r="X1" s="92"/>
      <c r="Y1" s="92"/>
      <c r="Z1" s="92"/>
      <c r="AA1" s="92"/>
      <c r="AB1" s="92"/>
      <c r="AC1" s="92"/>
      <c r="AD1" s="92"/>
      <c r="AE1" s="92"/>
      <c r="AF1" s="92"/>
      <c r="AG1" s="92"/>
      <c r="AH1" s="92"/>
      <c r="AI1" s="92"/>
      <c r="AJ1" s="92"/>
      <c r="AK1" s="92"/>
      <c r="AL1" s="92"/>
      <c r="AM1" s="92"/>
      <c r="AN1" s="92"/>
      <c r="AO1" s="92"/>
      <c r="AP1" s="92"/>
      <c r="AQ1" s="92"/>
      <c r="AR1" s="92"/>
      <c r="AS1" s="92"/>
      <c r="AT1" s="92"/>
      <c r="AU1" s="92"/>
      <c r="AV1" s="92"/>
      <c r="AW1" s="92"/>
    </row>
    <row r="2" ht="31.5" customHeight="1">
      <c r="A2" s="97"/>
      <c r="B2" s="92"/>
      <c r="C2" s="92"/>
      <c r="D2" s="92"/>
      <c r="E2" s="98"/>
      <c r="F2" s="99"/>
      <c r="G2" s="97"/>
      <c r="H2" s="92"/>
      <c r="I2" s="92"/>
      <c r="J2" s="92"/>
      <c r="K2" s="92"/>
      <c r="L2" s="92"/>
      <c r="M2" s="92"/>
      <c r="N2" s="92"/>
      <c r="O2" s="92"/>
      <c r="P2" s="92"/>
      <c r="Q2" s="92"/>
      <c r="R2" s="92"/>
      <c r="S2" s="92"/>
      <c r="T2" s="92"/>
      <c r="U2" s="92"/>
      <c r="V2" s="92"/>
      <c r="W2" s="92"/>
      <c r="X2" s="92"/>
      <c r="Y2" s="92"/>
      <c r="Z2" s="92"/>
      <c r="AA2" s="92"/>
      <c r="AB2" s="92"/>
      <c r="AC2" s="92"/>
      <c r="AD2" s="92"/>
      <c r="AE2" s="92"/>
      <c r="AF2" s="92"/>
      <c r="AG2" s="92"/>
      <c r="AH2" s="92"/>
      <c r="AI2" s="92"/>
      <c r="AJ2" s="92"/>
      <c r="AK2" s="92"/>
      <c r="AL2" s="92"/>
      <c r="AM2" s="92"/>
      <c r="AN2" s="92"/>
      <c r="AO2" s="92"/>
      <c r="AP2" s="92"/>
      <c r="AQ2" s="92"/>
      <c r="AR2" s="92"/>
      <c r="AS2" s="92"/>
      <c r="AT2" s="92"/>
      <c r="AU2" s="92"/>
      <c r="AV2" s="92"/>
      <c r="AW2" s="92"/>
    </row>
    <row r="3">
      <c r="A3" s="100" t="s">
        <v>52</v>
      </c>
      <c r="B3" s="101"/>
      <c r="C3" s="101"/>
      <c r="D3" s="101">
        <v>55.0</v>
      </c>
      <c r="E3" s="101">
        <v>56.0</v>
      </c>
      <c r="F3" s="101">
        <v>57.0</v>
      </c>
      <c r="G3" s="101">
        <v>58.0</v>
      </c>
      <c r="H3" s="101">
        <v>59.0</v>
      </c>
      <c r="I3" s="101">
        <v>60.0</v>
      </c>
      <c r="J3" s="101">
        <v>61.0</v>
      </c>
      <c r="K3" s="101">
        <v>62.0</v>
      </c>
      <c r="L3" s="101">
        <v>63.0</v>
      </c>
      <c r="M3" s="101">
        <v>64.0</v>
      </c>
      <c r="N3" s="101">
        <v>65.0</v>
      </c>
      <c r="O3" s="101">
        <v>66.0</v>
      </c>
      <c r="P3" s="101">
        <v>67.0</v>
      </c>
      <c r="Q3" s="101">
        <v>68.0</v>
      </c>
      <c r="R3" s="101">
        <v>69.0</v>
      </c>
      <c r="S3" s="101">
        <v>70.0</v>
      </c>
      <c r="T3" s="101">
        <v>71.0</v>
      </c>
      <c r="U3" s="101">
        <v>72.0</v>
      </c>
      <c r="V3" s="101">
        <v>73.0</v>
      </c>
      <c r="W3" s="101">
        <v>74.0</v>
      </c>
      <c r="X3" s="101">
        <v>75.0</v>
      </c>
      <c r="Y3" s="101">
        <v>76.0</v>
      </c>
      <c r="Z3" s="101">
        <v>77.0</v>
      </c>
      <c r="AA3" s="101">
        <v>78.0</v>
      </c>
      <c r="AB3" s="101">
        <v>79.0</v>
      </c>
      <c r="AC3" s="101">
        <v>80.0</v>
      </c>
      <c r="AD3" s="101">
        <v>81.0</v>
      </c>
      <c r="AE3" s="101">
        <v>82.0</v>
      </c>
      <c r="AF3" s="101">
        <v>83.0</v>
      </c>
      <c r="AG3" s="101">
        <v>84.0</v>
      </c>
      <c r="AH3" s="101">
        <v>85.0</v>
      </c>
      <c r="AI3" s="101">
        <v>86.0</v>
      </c>
      <c r="AJ3" s="101">
        <v>87.0</v>
      </c>
      <c r="AK3" s="101">
        <v>88.0</v>
      </c>
      <c r="AL3" s="101">
        <v>89.0</v>
      </c>
      <c r="AM3" s="101">
        <v>90.0</v>
      </c>
      <c r="AN3" s="102">
        <v>91.0</v>
      </c>
      <c r="AO3" s="102">
        <v>92.0</v>
      </c>
      <c r="AP3" s="102">
        <v>93.0</v>
      </c>
      <c r="AQ3" s="102">
        <v>94.0</v>
      </c>
      <c r="AR3" s="102">
        <v>95.0</v>
      </c>
      <c r="AS3" s="102">
        <v>96.0</v>
      </c>
      <c r="AT3" s="102">
        <v>97.0</v>
      </c>
      <c r="AU3" s="102">
        <v>98.0</v>
      </c>
      <c r="AV3" s="102">
        <v>99.0</v>
      </c>
      <c r="AW3" s="103"/>
    </row>
    <row r="4">
      <c r="A4" s="101" t="s">
        <v>9</v>
      </c>
      <c r="B4" s="104"/>
      <c r="C4" s="105"/>
      <c r="D4" s="101">
        <f>'Person 2 Calculator'!$F$6</f>
        <v>2024</v>
      </c>
      <c r="E4" s="101">
        <f t="shared" ref="E4:AV4" si="1">D4+1</f>
        <v>2025</v>
      </c>
      <c r="F4" s="101">
        <f t="shared" si="1"/>
        <v>2026</v>
      </c>
      <c r="G4" s="101">
        <f t="shared" si="1"/>
        <v>2027</v>
      </c>
      <c r="H4" s="101">
        <f t="shared" si="1"/>
        <v>2028</v>
      </c>
      <c r="I4" s="101">
        <f t="shared" si="1"/>
        <v>2029</v>
      </c>
      <c r="J4" s="101">
        <f t="shared" si="1"/>
        <v>2030</v>
      </c>
      <c r="K4" s="101">
        <f t="shared" si="1"/>
        <v>2031</v>
      </c>
      <c r="L4" s="101">
        <f t="shared" si="1"/>
        <v>2032</v>
      </c>
      <c r="M4" s="101">
        <f t="shared" si="1"/>
        <v>2033</v>
      </c>
      <c r="N4" s="101">
        <f t="shared" si="1"/>
        <v>2034</v>
      </c>
      <c r="O4" s="101">
        <f t="shared" si="1"/>
        <v>2035</v>
      </c>
      <c r="P4" s="101">
        <f t="shared" si="1"/>
        <v>2036</v>
      </c>
      <c r="Q4" s="101">
        <f t="shared" si="1"/>
        <v>2037</v>
      </c>
      <c r="R4" s="101">
        <f t="shared" si="1"/>
        <v>2038</v>
      </c>
      <c r="S4" s="101">
        <f t="shared" si="1"/>
        <v>2039</v>
      </c>
      <c r="T4" s="101">
        <f t="shared" si="1"/>
        <v>2040</v>
      </c>
      <c r="U4" s="101">
        <f t="shared" si="1"/>
        <v>2041</v>
      </c>
      <c r="V4" s="101">
        <f t="shared" si="1"/>
        <v>2042</v>
      </c>
      <c r="W4" s="101">
        <f t="shared" si="1"/>
        <v>2043</v>
      </c>
      <c r="X4" s="101">
        <f t="shared" si="1"/>
        <v>2044</v>
      </c>
      <c r="Y4" s="101">
        <f t="shared" si="1"/>
        <v>2045</v>
      </c>
      <c r="Z4" s="101">
        <f t="shared" si="1"/>
        <v>2046</v>
      </c>
      <c r="AA4" s="101">
        <f t="shared" si="1"/>
        <v>2047</v>
      </c>
      <c r="AB4" s="101">
        <f t="shared" si="1"/>
        <v>2048</v>
      </c>
      <c r="AC4" s="101">
        <f t="shared" si="1"/>
        <v>2049</v>
      </c>
      <c r="AD4" s="101">
        <f t="shared" si="1"/>
        <v>2050</v>
      </c>
      <c r="AE4" s="101">
        <f t="shared" si="1"/>
        <v>2051</v>
      </c>
      <c r="AF4" s="101">
        <f t="shared" si="1"/>
        <v>2052</v>
      </c>
      <c r="AG4" s="101">
        <f t="shared" si="1"/>
        <v>2053</v>
      </c>
      <c r="AH4" s="101">
        <f t="shared" si="1"/>
        <v>2054</v>
      </c>
      <c r="AI4" s="101">
        <f t="shared" si="1"/>
        <v>2055</v>
      </c>
      <c r="AJ4" s="101">
        <f t="shared" si="1"/>
        <v>2056</v>
      </c>
      <c r="AK4" s="101">
        <f t="shared" si="1"/>
        <v>2057</v>
      </c>
      <c r="AL4" s="101">
        <f t="shared" si="1"/>
        <v>2058</v>
      </c>
      <c r="AM4" s="101">
        <f t="shared" si="1"/>
        <v>2059</v>
      </c>
      <c r="AN4" s="101">
        <f t="shared" si="1"/>
        <v>2060</v>
      </c>
      <c r="AO4" s="101">
        <f t="shared" si="1"/>
        <v>2061</v>
      </c>
      <c r="AP4" s="101">
        <f t="shared" si="1"/>
        <v>2062</v>
      </c>
      <c r="AQ4" s="101">
        <f t="shared" si="1"/>
        <v>2063</v>
      </c>
      <c r="AR4" s="101">
        <f t="shared" si="1"/>
        <v>2064</v>
      </c>
      <c r="AS4" s="101">
        <f t="shared" si="1"/>
        <v>2065</v>
      </c>
      <c r="AT4" s="101">
        <f t="shared" si="1"/>
        <v>2066</v>
      </c>
      <c r="AU4" s="101">
        <f t="shared" si="1"/>
        <v>2067</v>
      </c>
      <c r="AV4" s="101">
        <f t="shared" si="1"/>
        <v>2068</v>
      </c>
      <c r="AW4" s="103"/>
    </row>
    <row r="5">
      <c r="A5" s="106" t="s">
        <v>53</v>
      </c>
      <c r="B5" s="107"/>
      <c r="C5" s="107"/>
      <c r="D5" s="107">
        <f>LET(
  TargetYear, D4,
  StartYear, 'Person 2 Calculator'!$F$4,
  EndYear, 'Person 2 Calculator'!$F$5,
  SIPPflag, Income!$K$4,
  IF(
    SIPPflag = 0,
    IF(TargetYear &lt; StartYear, 4,
      IF(TargetYear = StartYear, 5,
        IF(AND(TargetYear &gt; StartYear, TargetYear &lt; EndYear), 6,
          IF(TargetYear &gt;= EndYear, 7, "")
        )
      )
    ),
    IFS(
      TargetYear &lt; StartYear, 0,
      TargetYear = StartYear, 1,
      AND(TargetYear &gt; StartYear, TargetYear &lt; EndYear), 2,
      TargetYear &gt;= EndYear, 3
    )
  )
)
</f>
        <v>4</v>
      </c>
      <c r="E5" s="107">
        <f>LET(
  TargetYear, E4,
  StartYear, 'Person 2 Calculator'!$F$4,
  EndYear, 'Person 2 Calculator'!$F$5,
  SIPPflag, Income!$K$4,
  IF(
    SIPPflag = 0,
    IF(TargetYear &lt; StartYear, 4,
      IF(TargetYear = StartYear, 5,
        IF(AND(TargetYear &gt; StartYear, TargetYear &lt; EndYear), 6,
          IF(TargetYear &gt;= EndYear, 7, "")
        )
      )
    ),
    IFS(
      TargetYear &lt; StartYear, 0,
      TargetYear = StartYear, 1,
      AND(TargetYear &gt; StartYear, TargetYear &lt; EndYear), 2,
      TargetYear &gt;= EndYear, 3
    )
  )
)
</f>
        <v>4</v>
      </c>
      <c r="F5" s="107">
        <f>LET(
  TargetYear, F4,
  StartYear, 'Person 2 Calculator'!$F$4,
  EndYear, 'Person 2 Calculator'!$F$5,
  SIPPflag, Income!$K$4,
  IF(
    SIPPflag = 0,
    IF(TargetYear &lt; StartYear, 4,
      IF(TargetYear = StartYear, 5,
        IF(AND(TargetYear &gt; StartYear, TargetYear &lt; EndYear), 6,
          IF(TargetYear &gt;= EndYear, 7, "")
        )
      )
    ),
    IFS(
      TargetYear &lt; StartYear, 0,
      TargetYear = StartYear, 1,
      AND(TargetYear &gt; StartYear, TargetYear &lt; EndYear), 2,
      TargetYear &gt;= EndYear, 3
    )
  )
)
</f>
        <v>5</v>
      </c>
      <c r="G5" s="107">
        <f>LET(
  TargetYear, G4,
  StartYear, 'Person 2 Calculator'!$F$4,
  EndYear, 'Person 2 Calculator'!$F$5,
  SIPPflag, Income!$K$4,
  IF(
    SIPPflag = 0,
    IF(TargetYear &lt; StartYear, 4,
      IF(TargetYear = StartYear, 5,
        IF(AND(TargetYear &gt; StartYear, TargetYear &lt; EndYear), 6,
          IF(TargetYear &gt;= EndYear, 7, "")
        )
      )
    ),
    IFS(
      TargetYear &lt; StartYear, 0,
      TargetYear = StartYear, 1,
      AND(TargetYear &gt; StartYear, TargetYear &lt; EndYear), 2,
      TargetYear &gt;= EndYear, 3
    )
  )
)
</f>
        <v>6</v>
      </c>
      <c r="H5" s="107">
        <f>LET(
  TargetYear, H4,
  StartYear, 'Person 2 Calculator'!$F$4,
  EndYear, 'Person 2 Calculator'!$F$5,
  SIPPflag, Income!$K$4,
  IF(
    SIPPflag = 0,
    IF(TargetYear &lt; StartYear, 4,
      IF(TargetYear = StartYear, 5,
        IF(AND(TargetYear &gt; StartYear, TargetYear &lt; EndYear), 6,
          IF(TargetYear &gt;= EndYear, 7, "")
        )
      )
    ),
    IFS(
      TargetYear &lt; StartYear, 0,
      TargetYear = StartYear, 1,
      AND(TargetYear &gt; StartYear, TargetYear &lt; EndYear), 2,
      TargetYear &gt;= EndYear, 3
    )
  )
)
</f>
        <v>6</v>
      </c>
      <c r="I5" s="107">
        <f>LET(
  TargetYear, I4,
  StartYear, 'Person 2 Calculator'!$F$4,
  EndYear, 'Person 2 Calculator'!$F$5,
  SIPPflag, Income!$K$4,
  IF(
    SIPPflag = 0,
    IF(TargetYear &lt; StartYear, 4,
      IF(TargetYear = StartYear, 5,
        IF(AND(TargetYear &gt; StartYear, TargetYear &lt; EndYear), 6,
          IF(TargetYear &gt;= EndYear, 7, "")
        )
      )
    ),
    IFS(
      TargetYear &lt; StartYear, 0,
      TargetYear = StartYear, 1,
      AND(TargetYear &gt; StartYear, TargetYear &lt; EndYear), 2,
      TargetYear &gt;= EndYear, 3
    )
  )
)
</f>
        <v>6</v>
      </c>
      <c r="J5" s="107">
        <f>LET(
  TargetYear, J4,
  StartYear, 'Person 2 Calculator'!$F$4,
  EndYear, 'Person 2 Calculator'!$F$5,
  SIPPflag, Income!$K$4,
  IF(
    SIPPflag = 0,
    IF(TargetYear &lt; StartYear, 4,
      IF(TargetYear = StartYear, 5,
        IF(AND(TargetYear &gt; StartYear, TargetYear &lt; EndYear), 6,
          IF(TargetYear &gt;= EndYear, 7, "")
        )
      )
    ),
    IFS(
      TargetYear &lt; StartYear, 0,
      TargetYear = StartYear, 1,
      AND(TargetYear &gt; StartYear, TargetYear &lt; EndYear), 2,
      TargetYear &gt;= EndYear, 3
    )
  )
)
</f>
        <v>6</v>
      </c>
      <c r="K5" s="107">
        <f>LET(
  TargetYear, K4,
  StartYear, 'Person 2 Calculator'!$F$4,
  EndYear, 'Person 2 Calculator'!$F$5,
  SIPPflag, Income!$K$4,
  IF(
    SIPPflag = 0,
    IF(TargetYear &lt; StartYear, 4,
      IF(TargetYear = StartYear, 5,
        IF(AND(TargetYear &gt; StartYear, TargetYear &lt; EndYear), 6,
          IF(TargetYear &gt;= EndYear, 7, "")
        )
      )
    ),
    IFS(
      TargetYear &lt; StartYear, 0,
      TargetYear = StartYear, 1,
      AND(TargetYear &gt; StartYear, TargetYear &lt; EndYear), 2,
      TargetYear &gt;= EndYear, 3
    )
  )
)
</f>
        <v>6</v>
      </c>
      <c r="L5" s="107">
        <f>LET(
  TargetYear, L4,
  StartYear, 'Person 2 Calculator'!$F$4,
  EndYear, 'Person 2 Calculator'!$F$5,
  SIPPflag, Income!$K$4,
  IF(
    SIPPflag = 0,
    IF(TargetYear &lt; StartYear, 4,
      IF(TargetYear = StartYear, 5,
        IF(AND(TargetYear &gt; StartYear, TargetYear &lt; EndYear), 6,
          IF(TargetYear &gt;= EndYear, 7, "")
        )
      )
    ),
    IFS(
      TargetYear &lt; StartYear, 0,
      TargetYear = StartYear, 1,
      AND(TargetYear &gt; StartYear, TargetYear &lt; EndYear), 2,
      TargetYear &gt;= EndYear, 3
    )
  )
)
</f>
        <v>6</v>
      </c>
      <c r="M5" s="107">
        <f>LET(
  TargetYear, M4,
  StartYear, 'Person 2 Calculator'!$F$4,
  EndYear, 'Person 2 Calculator'!$F$5,
  SIPPflag, Income!$K$4,
  IF(
    SIPPflag = 0,
    IF(TargetYear &lt; StartYear, 4,
      IF(TargetYear = StartYear, 5,
        IF(AND(TargetYear &gt; StartYear, TargetYear &lt; EndYear), 6,
          IF(TargetYear &gt;= EndYear, 7, "")
        )
      )
    ),
    IFS(
      TargetYear &lt; StartYear, 0,
      TargetYear = StartYear, 1,
      AND(TargetYear &gt; StartYear, TargetYear &lt; EndYear), 2,
      TargetYear &gt;= EndYear, 3
    )
  )
)
</f>
        <v>6</v>
      </c>
      <c r="N5" s="107">
        <f>LET(
  TargetYear, N4,
  StartYear, 'Person 2 Calculator'!$F$4,
  EndYear, 'Person 2 Calculator'!$F$5,
  SIPPflag, Income!$K$4,
  IF(
    SIPPflag = 0,
    IF(TargetYear &lt; StartYear, 4,
      IF(TargetYear = StartYear, 5,
        IF(AND(TargetYear &gt; StartYear, TargetYear &lt; EndYear), 6,
          IF(TargetYear &gt;= EndYear, 7, "")
        )
      )
    ),
    IFS(
      TargetYear &lt; StartYear, 0,
      TargetYear = StartYear, 1,
      AND(TargetYear &gt; StartYear, TargetYear &lt; EndYear), 2,
      TargetYear &gt;= EndYear, 3
    )
  )
)
</f>
        <v>6</v>
      </c>
      <c r="O5" s="107">
        <f>LET(
  TargetYear, O4,
  StartYear, 'Person 2 Calculator'!$F$4,
  EndYear, 'Person 2 Calculator'!$F$5,
  SIPPflag, Income!$K$4,
  IF(
    SIPPflag = 0,
    IF(TargetYear &lt; StartYear, 4,
      IF(TargetYear = StartYear, 5,
        IF(AND(TargetYear &gt; StartYear, TargetYear &lt; EndYear), 6,
          IF(TargetYear &gt;= EndYear, 7, "")
        )
      )
    ),
    IFS(
      TargetYear &lt; StartYear, 0,
      TargetYear = StartYear, 1,
      AND(TargetYear &gt; StartYear, TargetYear &lt; EndYear), 2,
      TargetYear &gt;= EndYear, 3
    )
  )
)
</f>
        <v>6</v>
      </c>
      <c r="P5" s="107">
        <f>LET(
  TargetYear, P4,
  StartYear, 'Person 2 Calculator'!$F$4,
  EndYear, 'Person 2 Calculator'!$F$5,
  SIPPflag, Income!$K$4,
  IF(
    SIPPflag = 0,
    IF(TargetYear &lt; StartYear, 4,
      IF(TargetYear = StartYear, 5,
        IF(AND(TargetYear &gt; StartYear, TargetYear &lt; EndYear), 6,
          IF(TargetYear &gt;= EndYear, 7, "")
        )
      )
    ),
    IFS(
      TargetYear &lt; StartYear, 0,
      TargetYear = StartYear, 1,
      AND(TargetYear &gt; StartYear, TargetYear &lt; EndYear), 2,
      TargetYear &gt;= EndYear, 3
    )
  )
)
</f>
        <v>6</v>
      </c>
      <c r="Q5" s="107">
        <f>LET(
  TargetYear, Q4,
  StartYear, 'Person 2 Calculator'!$F$4,
  EndYear, 'Person 2 Calculator'!$F$5,
  SIPPflag, Income!$K$4,
  IF(
    SIPPflag = 0,
    IF(TargetYear &lt; StartYear, 4,
      IF(TargetYear = StartYear, 5,
        IF(AND(TargetYear &gt; StartYear, TargetYear &lt; EndYear), 6,
          IF(TargetYear &gt;= EndYear, 7, "")
        )
      )
    ),
    IFS(
      TargetYear &lt; StartYear, 0,
      TargetYear = StartYear, 1,
      AND(TargetYear &gt; StartYear, TargetYear &lt; EndYear), 2,
      TargetYear &gt;= EndYear, 3
    )
  )
)
</f>
        <v>6</v>
      </c>
      <c r="R5" s="107">
        <f>LET(
  TargetYear, R4,
  StartYear, 'Person 2 Calculator'!$F$4,
  EndYear, 'Person 2 Calculator'!$F$5,
  SIPPflag, Income!$K$4,
  IF(
    SIPPflag = 0,
    IF(TargetYear &lt; StartYear, 4,
      IF(TargetYear = StartYear, 5,
        IF(AND(TargetYear &gt; StartYear, TargetYear &lt; EndYear), 6,
          IF(TargetYear &gt;= EndYear, 7, "")
        )
      )
    ),
    IFS(
      TargetYear &lt; StartYear, 0,
      TargetYear = StartYear, 1,
      AND(TargetYear &gt; StartYear, TargetYear &lt; EndYear), 2,
      TargetYear &gt;= EndYear, 3
    )
  )
)
</f>
        <v>6</v>
      </c>
      <c r="S5" s="107">
        <f>LET(
  TargetYear, S4,
  StartYear, 'Person 2 Calculator'!$F$4,
  EndYear, 'Person 2 Calculator'!$F$5,
  SIPPflag, Income!$K$4,
  IF(
    SIPPflag = 0,
    IF(TargetYear &lt; StartYear, 4,
      IF(TargetYear = StartYear, 5,
        IF(AND(TargetYear &gt; StartYear, TargetYear &lt; EndYear), 6,
          IF(TargetYear &gt;= EndYear, 7, "")
        )
      )
    ),
    IFS(
      TargetYear &lt; StartYear, 0,
      TargetYear = StartYear, 1,
      AND(TargetYear &gt; StartYear, TargetYear &lt; EndYear), 2,
      TargetYear &gt;= EndYear, 3
    )
  )
)
</f>
        <v>6</v>
      </c>
      <c r="T5" s="107">
        <f>LET(
  TargetYear, T4,
  StartYear, 'Person 2 Calculator'!$F$4,
  EndYear, 'Person 2 Calculator'!$F$5,
  SIPPflag, Income!$K$4,
  IF(
    SIPPflag = 0,
    IF(TargetYear &lt; StartYear, 4,
      IF(TargetYear = StartYear, 5,
        IF(AND(TargetYear &gt; StartYear, TargetYear &lt; EndYear), 6,
          IF(TargetYear &gt;= EndYear, 7, "")
        )
      )
    ),
    IFS(
      TargetYear &lt; StartYear, 0,
      TargetYear = StartYear, 1,
      AND(TargetYear &gt; StartYear, TargetYear &lt; EndYear), 2,
      TargetYear &gt;= EndYear, 3
    )
  )
)
</f>
        <v>6</v>
      </c>
      <c r="U5" s="107">
        <f>LET(
  TargetYear, U4,
  StartYear, 'Person 2 Calculator'!$F$4,
  EndYear, 'Person 2 Calculator'!$F$5,
  SIPPflag, Income!$K$4,
  IF(
    SIPPflag = 0,
    IF(TargetYear &lt; StartYear, 4,
      IF(TargetYear = StartYear, 5,
        IF(AND(TargetYear &gt; StartYear, TargetYear &lt; EndYear), 6,
          IF(TargetYear &gt;= EndYear, 7, "")
        )
      )
    ),
    IFS(
      TargetYear &lt; StartYear, 0,
      TargetYear = StartYear, 1,
      AND(TargetYear &gt; StartYear, TargetYear &lt; EndYear), 2,
      TargetYear &gt;= EndYear, 3
    )
  )
)
</f>
        <v>6</v>
      </c>
      <c r="V5" s="107">
        <f>LET(
  TargetYear, V4,
  StartYear, 'Person 2 Calculator'!$F$4,
  EndYear, 'Person 2 Calculator'!$F$5,
  SIPPflag, Income!$K$4,
  IF(
    SIPPflag = 0,
    IF(TargetYear &lt; StartYear, 4,
      IF(TargetYear = StartYear, 5,
        IF(AND(TargetYear &gt; StartYear, TargetYear &lt; EndYear), 6,
          IF(TargetYear &gt;= EndYear, 7, "")
        )
      )
    ),
    IFS(
      TargetYear &lt; StartYear, 0,
      TargetYear = StartYear, 1,
      AND(TargetYear &gt; StartYear, TargetYear &lt; EndYear), 2,
      TargetYear &gt;= EndYear, 3
    )
  )
)
</f>
        <v>6</v>
      </c>
      <c r="W5" s="107">
        <f>LET(
  TargetYear, W4,
  StartYear, 'Person 2 Calculator'!$F$4,
  EndYear, 'Person 2 Calculator'!$F$5,
  SIPPflag, Income!$K$4,
  IF(
    SIPPflag = 0,
    IF(TargetYear &lt; StartYear, 4,
      IF(TargetYear = StartYear, 5,
        IF(AND(TargetYear &gt; StartYear, TargetYear &lt; EndYear), 6,
          IF(TargetYear &gt;= EndYear, 7, "")
        )
      )
    ),
    IFS(
      TargetYear &lt; StartYear, 0,
      TargetYear = StartYear, 1,
      AND(TargetYear &gt; StartYear, TargetYear &lt; EndYear), 2,
      TargetYear &gt;= EndYear, 3
    )
  )
)
</f>
        <v>6</v>
      </c>
      <c r="X5" s="107">
        <f>LET(
  TargetYear, X4,
  StartYear, 'Person 2 Calculator'!$F$4,
  EndYear, 'Person 2 Calculator'!$F$5,
  SIPPflag, Income!$K$4,
  IF(
    SIPPflag = 0,
    IF(TargetYear &lt; StartYear, 4,
      IF(TargetYear = StartYear, 5,
        IF(AND(TargetYear &gt; StartYear, TargetYear &lt; EndYear), 6,
          IF(TargetYear &gt;= EndYear, 7, "")
        )
      )
    ),
    IFS(
      TargetYear &lt; StartYear, 0,
      TargetYear = StartYear, 1,
      AND(TargetYear &gt; StartYear, TargetYear &lt; EndYear), 2,
      TargetYear &gt;= EndYear, 3
    )
  )
)
</f>
        <v>6</v>
      </c>
      <c r="Y5" s="107">
        <f>LET(
  TargetYear, Y4,
  StartYear, 'Person 2 Calculator'!$F$4,
  EndYear, 'Person 2 Calculator'!$F$5,
  SIPPflag, Income!$K$4,
  IF(
    SIPPflag = 0,
    IF(TargetYear &lt; StartYear, 4,
      IF(TargetYear = StartYear, 5,
        IF(AND(TargetYear &gt; StartYear, TargetYear &lt; EndYear), 6,
          IF(TargetYear &gt;= EndYear, 7, "")
        )
      )
    ),
    IFS(
      TargetYear &lt; StartYear, 0,
      TargetYear = StartYear, 1,
      AND(TargetYear &gt; StartYear, TargetYear &lt; EndYear), 2,
      TargetYear &gt;= EndYear, 3
    )
  )
)
</f>
        <v>6</v>
      </c>
      <c r="Z5" s="107">
        <f>LET(
  TargetYear, Z4,
  StartYear, 'Person 2 Calculator'!$F$4,
  EndYear, 'Person 2 Calculator'!$F$5,
  SIPPflag, Income!$K$4,
  IF(
    SIPPflag = 0,
    IF(TargetYear &lt; StartYear, 4,
      IF(TargetYear = StartYear, 5,
        IF(AND(TargetYear &gt; StartYear, TargetYear &lt; EndYear), 6,
          IF(TargetYear &gt;= EndYear, 7, "")
        )
      )
    ),
    IFS(
      TargetYear &lt; StartYear, 0,
      TargetYear = StartYear, 1,
      AND(TargetYear &gt; StartYear, TargetYear &lt; EndYear), 2,
      TargetYear &gt;= EndYear, 3
    )
  )
)
</f>
        <v>6</v>
      </c>
      <c r="AA5" s="107">
        <f>LET(
  TargetYear, AA4,
  StartYear, 'Person 2 Calculator'!$F$4,
  EndYear, 'Person 2 Calculator'!$F$5,
  SIPPflag, Income!$K$4,
  IF(
    SIPPflag = 0,
    IF(TargetYear &lt; StartYear, 4,
      IF(TargetYear = StartYear, 5,
        IF(AND(TargetYear &gt; StartYear, TargetYear &lt; EndYear), 6,
          IF(TargetYear &gt;= EndYear, 7, "")
        )
      )
    ),
    IFS(
      TargetYear &lt; StartYear, 0,
      TargetYear = StartYear, 1,
      AND(TargetYear &gt; StartYear, TargetYear &lt; EndYear), 2,
      TargetYear &gt;= EndYear, 3
    )
  )
)
</f>
        <v>6</v>
      </c>
      <c r="AB5" s="107">
        <f>LET(
  TargetYear, AB4,
  StartYear, 'Person 2 Calculator'!$F$4,
  EndYear, 'Person 2 Calculator'!$F$5,
  SIPPflag, Income!$K$4,
  IF(
    SIPPflag = 0,
    IF(TargetYear &lt; StartYear, 4,
      IF(TargetYear = StartYear, 5,
        IF(AND(TargetYear &gt; StartYear, TargetYear &lt; EndYear), 6,
          IF(TargetYear &gt;= EndYear, 7, "")
        )
      )
    ),
    IFS(
      TargetYear &lt; StartYear, 0,
      TargetYear = StartYear, 1,
      AND(TargetYear &gt; StartYear, TargetYear &lt; EndYear), 2,
      TargetYear &gt;= EndYear, 3
    )
  )
)
</f>
        <v>6</v>
      </c>
      <c r="AC5" s="107">
        <f>LET(
  TargetYear, AC4,
  StartYear, 'Person 2 Calculator'!$F$4,
  EndYear, 'Person 2 Calculator'!$F$5,
  SIPPflag, Income!$K$4,
  IF(
    SIPPflag = 0,
    IF(TargetYear &lt; StartYear, 4,
      IF(TargetYear = StartYear, 5,
        IF(AND(TargetYear &gt; StartYear, TargetYear &lt; EndYear), 6,
          IF(TargetYear &gt;= EndYear, 7, "")
        )
      )
    ),
    IFS(
      TargetYear &lt; StartYear, 0,
      TargetYear = StartYear, 1,
      AND(TargetYear &gt; StartYear, TargetYear &lt; EndYear), 2,
      TargetYear &gt;= EndYear, 3
    )
  )
)
</f>
        <v>6</v>
      </c>
      <c r="AD5" s="107">
        <f>LET(
  TargetYear, AD4,
  StartYear, 'Person 2 Calculator'!$F$4,
  EndYear, 'Person 2 Calculator'!$F$5,
  SIPPflag, Income!$K$4,
  IF(
    SIPPflag = 0,
    IF(TargetYear &lt; StartYear, 4,
      IF(TargetYear = StartYear, 5,
        IF(AND(TargetYear &gt; StartYear, TargetYear &lt; EndYear), 6,
          IF(TargetYear &gt;= EndYear, 7, "")
        )
      )
    ),
    IFS(
      TargetYear &lt; StartYear, 0,
      TargetYear = StartYear, 1,
      AND(TargetYear &gt; StartYear, TargetYear &lt; EndYear), 2,
      TargetYear &gt;= EndYear, 3
    )
  )
)
</f>
        <v>6</v>
      </c>
      <c r="AE5" s="107">
        <f>LET(
  TargetYear, AE4,
  StartYear, 'Person 2 Calculator'!$F$4,
  EndYear, 'Person 2 Calculator'!$F$5,
  SIPPflag, Income!$K$4,
  IF(
    SIPPflag = 0,
    IF(TargetYear &lt; StartYear, 4,
      IF(TargetYear = StartYear, 5,
        IF(AND(TargetYear &gt; StartYear, TargetYear &lt; EndYear), 6,
          IF(TargetYear &gt;= EndYear, 7, "")
        )
      )
    ),
    IFS(
      TargetYear &lt; StartYear, 0,
      TargetYear = StartYear, 1,
      AND(TargetYear &gt; StartYear, TargetYear &lt; EndYear), 2,
      TargetYear &gt;= EndYear, 3
    )
  )
)
</f>
        <v>6</v>
      </c>
      <c r="AF5" s="107">
        <f>LET(
  TargetYear, AF4,
  StartYear, 'Person 2 Calculator'!$F$4,
  EndYear, 'Person 2 Calculator'!$F$5,
  SIPPflag, Income!$K$4,
  IF(
    SIPPflag = 0,
    IF(TargetYear &lt; StartYear, 4,
      IF(TargetYear = StartYear, 5,
        IF(AND(TargetYear &gt; StartYear, TargetYear &lt; EndYear), 6,
          IF(TargetYear &gt;= EndYear, 7, "")
        )
      )
    ),
    IFS(
      TargetYear &lt; StartYear, 0,
      TargetYear = StartYear, 1,
      AND(TargetYear &gt; StartYear, TargetYear &lt; EndYear), 2,
      TargetYear &gt;= EndYear, 3
    )
  )
)
</f>
        <v>6</v>
      </c>
      <c r="AG5" s="107">
        <f>LET(
  TargetYear, AG4,
  StartYear, 'Person 2 Calculator'!$F$4,
  EndYear, 'Person 2 Calculator'!$F$5,
  SIPPflag, Income!$K$4,
  IF(
    SIPPflag = 0,
    IF(TargetYear &lt; StartYear, 4,
      IF(TargetYear = StartYear, 5,
        IF(AND(TargetYear &gt; StartYear, TargetYear &lt; EndYear), 6,
          IF(TargetYear &gt;= EndYear, 7, "")
        )
      )
    ),
    IFS(
      TargetYear &lt; StartYear, 0,
      TargetYear = StartYear, 1,
      AND(TargetYear &gt; StartYear, TargetYear &lt; EndYear), 2,
      TargetYear &gt;= EndYear, 3
    )
  )
)
</f>
        <v>6</v>
      </c>
      <c r="AH5" s="107">
        <f>LET(
  TargetYear, AH4,
  StartYear, 'Person 2 Calculator'!$F$4,
  EndYear, 'Person 2 Calculator'!$F$5,
  SIPPflag, Income!$K$4,
  IF(
    SIPPflag = 0,
    IF(TargetYear &lt; StartYear, 4,
      IF(TargetYear = StartYear, 5,
        IF(AND(TargetYear &gt; StartYear, TargetYear &lt; EndYear), 6,
          IF(TargetYear &gt;= EndYear, 7, "")
        )
      )
    ),
    IFS(
      TargetYear &lt; StartYear, 0,
      TargetYear = StartYear, 1,
      AND(TargetYear &gt; StartYear, TargetYear &lt; EndYear), 2,
      TargetYear &gt;= EndYear, 3
    )
  )
)
</f>
        <v>6</v>
      </c>
      <c r="AI5" s="107">
        <f>LET(
  TargetYear, AI4,
  StartYear, 'Person 2 Calculator'!$F$4,
  EndYear, 'Person 2 Calculator'!$F$5,
  SIPPflag, Income!$K$4,
  IF(
    SIPPflag = 0,
    IF(TargetYear &lt; StartYear, 4,
      IF(TargetYear = StartYear, 5,
        IF(AND(TargetYear &gt; StartYear, TargetYear &lt; EndYear), 6,
          IF(TargetYear &gt;= EndYear, 7, "")
        )
      )
    ),
    IFS(
      TargetYear &lt; StartYear, 0,
      TargetYear = StartYear, 1,
      AND(TargetYear &gt; StartYear, TargetYear &lt; EndYear), 2,
      TargetYear &gt;= EndYear, 3
    )
  )
)
</f>
        <v>6</v>
      </c>
      <c r="AJ5" s="107">
        <f>LET(
  TargetYear, AJ4,
  StartYear, 'Person 2 Calculator'!$F$4,
  EndYear, 'Person 2 Calculator'!$F$5,
  SIPPflag, Income!$K$4,
  IF(
    SIPPflag = 0,
    IF(TargetYear &lt; StartYear, 4,
      IF(TargetYear = StartYear, 5,
        IF(AND(TargetYear &gt; StartYear, TargetYear &lt; EndYear), 6,
          IF(TargetYear &gt;= EndYear, 7, "")
        )
      )
    ),
    IFS(
      TargetYear &lt; StartYear, 0,
      TargetYear = StartYear, 1,
      AND(TargetYear &gt; StartYear, TargetYear &lt; EndYear), 2,
      TargetYear &gt;= EndYear, 3
    )
  )
)
</f>
        <v>6</v>
      </c>
      <c r="AK5" s="107">
        <f>LET(
  TargetYear, AK4,
  StartYear, 'Person 2 Calculator'!$F$4,
  EndYear, 'Person 2 Calculator'!$F$5,
  SIPPflag, Income!$K$4,
  IF(
    SIPPflag = 0,
    IF(TargetYear &lt; StartYear, 4,
      IF(TargetYear = StartYear, 5,
        IF(AND(TargetYear &gt; StartYear, TargetYear &lt; EndYear), 6,
          IF(TargetYear &gt;= EndYear, 7, "")
        )
      )
    ),
    IFS(
      TargetYear &lt; StartYear, 0,
      TargetYear = StartYear, 1,
      AND(TargetYear &gt; StartYear, TargetYear &lt; EndYear), 2,
      TargetYear &gt;= EndYear, 3
    )
  )
)
</f>
        <v>6</v>
      </c>
      <c r="AL5" s="107">
        <f>LET(
  TargetYear, AL4,
  StartYear, 'Person 2 Calculator'!$F$4,
  EndYear, 'Person 2 Calculator'!$F$5,
  SIPPflag, Income!$K$4,
  IF(
    SIPPflag = 0,
    IF(TargetYear &lt; StartYear, 4,
      IF(TargetYear = StartYear, 5,
        IF(AND(TargetYear &gt; StartYear, TargetYear &lt; EndYear), 6,
          IF(TargetYear &gt;= EndYear, 7, "")
        )
      )
    ),
    IFS(
      TargetYear &lt; StartYear, 0,
      TargetYear = StartYear, 1,
      AND(TargetYear &gt; StartYear, TargetYear &lt; EndYear), 2,
      TargetYear &gt;= EndYear, 3
    )
  )
)
</f>
        <v>7</v>
      </c>
      <c r="AM5" s="107">
        <f>LET(
  TargetYear, AM4,
  StartYear, 'Person 2 Calculator'!$F$4,
  EndYear, 'Person 2 Calculator'!$F$5,
  SIPPflag, Income!$K$4,
  IF(
    SIPPflag = 0,
    IF(TargetYear &lt; StartYear, 4,
      IF(TargetYear = StartYear, 5,
        IF(AND(TargetYear &gt; StartYear, TargetYear &lt; EndYear), 6,
          IF(TargetYear &gt;= EndYear, 7, "")
        )
      )
    ),
    IFS(
      TargetYear &lt; StartYear, 0,
      TargetYear = StartYear, 1,
      AND(TargetYear &gt; StartYear, TargetYear &lt; EndYear), 2,
      TargetYear &gt;= EndYear, 3
    )
  )
)
</f>
        <v>7</v>
      </c>
      <c r="AN5" s="107">
        <f>LET(
  TargetYear, AN4,
  StartYear, 'Person 2 Calculator'!$F$4,
  EndYear, 'Person 2 Calculator'!$F$5,
  SIPPflag, Income!$K$4,
  IF(
    SIPPflag = 0,
    IF(TargetYear &lt; StartYear, 4,
      IF(TargetYear = StartYear, 5,
        IF(AND(TargetYear &gt; StartYear, TargetYear &lt; EndYear), 6,
          IF(TargetYear &gt;= EndYear, 7, "")
        )
      )
    ),
    IFS(
      TargetYear &lt; StartYear, 0,
      TargetYear = StartYear, 1,
      AND(TargetYear &gt; StartYear, TargetYear &lt; EndYear), 2,
      TargetYear &gt;= EndYear, 3
    )
  )
)
</f>
        <v>7</v>
      </c>
      <c r="AO5" s="107">
        <f>LET(
  TargetYear, AO4,
  StartYear, 'Person 2 Calculator'!$F$4,
  EndYear, 'Person 2 Calculator'!$F$5,
  SIPPflag, Income!$K$4,
  IF(
    SIPPflag = 0,
    IF(TargetYear &lt; StartYear, 4,
      IF(TargetYear = StartYear, 5,
        IF(AND(TargetYear &gt; StartYear, TargetYear &lt; EndYear), 6,
          IF(TargetYear &gt;= EndYear, 7, "")
        )
      )
    ),
    IFS(
      TargetYear &lt; StartYear, 0,
      TargetYear = StartYear, 1,
      AND(TargetYear &gt; StartYear, TargetYear &lt; EndYear), 2,
      TargetYear &gt;= EndYear, 3
    )
  )
)
</f>
        <v>7</v>
      </c>
      <c r="AP5" s="107">
        <f>LET(
  TargetYear, AP4,
  StartYear, 'Person 2 Calculator'!$F$4,
  EndYear, 'Person 2 Calculator'!$F$5,
  SIPPflag, Income!$K$4,
  IF(
    SIPPflag = 0,
    IF(TargetYear &lt; StartYear, 4,
      IF(TargetYear = StartYear, 5,
        IF(AND(TargetYear &gt; StartYear, TargetYear &lt; EndYear), 6,
          IF(TargetYear &gt;= EndYear, 7, "")
        )
      )
    ),
    IFS(
      TargetYear &lt; StartYear, 0,
      TargetYear = StartYear, 1,
      AND(TargetYear &gt; StartYear, TargetYear &lt; EndYear), 2,
      TargetYear &gt;= EndYear, 3
    )
  )
)
</f>
        <v>7</v>
      </c>
      <c r="AQ5" s="107">
        <f>LET(
  TargetYear, AQ4,
  StartYear, 'Person 2 Calculator'!$F$4,
  EndYear, 'Person 2 Calculator'!$F$5,
  SIPPflag, Income!$K$4,
  IF(
    SIPPflag = 0,
    IF(TargetYear &lt; StartYear, 4,
      IF(TargetYear = StartYear, 5,
        IF(AND(TargetYear &gt; StartYear, TargetYear &lt; EndYear), 6,
          IF(TargetYear &gt;= EndYear, 7, "")
        )
      )
    ),
    IFS(
      TargetYear &lt; StartYear, 0,
      TargetYear = StartYear, 1,
      AND(TargetYear &gt; StartYear, TargetYear &lt; EndYear), 2,
      TargetYear &gt;= EndYear, 3
    )
  )
)
</f>
        <v>7</v>
      </c>
      <c r="AR5" s="107">
        <f>LET(
  TargetYear, AR4,
  StartYear, 'Person 2 Calculator'!$F$4,
  EndYear, 'Person 2 Calculator'!$F$5,
  SIPPflag, Income!$K$4,
  IF(
    SIPPflag = 0,
    IF(TargetYear &lt; StartYear, 4,
      IF(TargetYear = StartYear, 5,
        IF(AND(TargetYear &gt; StartYear, TargetYear &lt; EndYear), 6,
          IF(TargetYear &gt;= EndYear, 7, "")
        )
      )
    ),
    IFS(
      TargetYear &lt; StartYear, 0,
      TargetYear = StartYear, 1,
      AND(TargetYear &gt; StartYear, TargetYear &lt; EndYear), 2,
      TargetYear &gt;= EndYear, 3
    )
  )
)
</f>
        <v>7</v>
      </c>
      <c r="AS5" s="107">
        <f>LET(
  TargetYear, AS4,
  StartYear, 'Person 2 Calculator'!$F$4,
  EndYear, 'Person 2 Calculator'!$F$5,
  SIPPflag, Income!$K$4,
  IF(
    SIPPflag = 0,
    IF(TargetYear &lt; StartYear, 4,
      IF(TargetYear = StartYear, 5,
        IF(AND(TargetYear &gt; StartYear, TargetYear &lt; EndYear), 6,
          IF(TargetYear &gt;= EndYear, 7, "")
        )
      )
    ),
    IFS(
      TargetYear &lt; StartYear, 0,
      TargetYear = StartYear, 1,
      AND(TargetYear &gt; StartYear, TargetYear &lt; EndYear), 2,
      TargetYear &gt;= EndYear, 3
    )
  )
)
</f>
        <v>7</v>
      </c>
      <c r="AT5" s="107">
        <f>LET(
  TargetYear, AT4,
  StartYear, 'Person 2 Calculator'!$F$4,
  EndYear, 'Person 2 Calculator'!$F$5,
  SIPPflag, Income!$K$4,
  IF(
    SIPPflag = 0,
    IF(TargetYear &lt; StartYear, 4,
      IF(TargetYear = StartYear, 5,
        IF(AND(TargetYear &gt; StartYear, TargetYear &lt; EndYear), 6,
          IF(TargetYear &gt;= EndYear, 7, "")
        )
      )
    ),
    IFS(
      TargetYear &lt; StartYear, 0,
      TargetYear = StartYear, 1,
      AND(TargetYear &gt; StartYear, TargetYear &lt; EndYear), 2,
      TargetYear &gt;= EndYear, 3
    )
  )
)
</f>
        <v>7</v>
      </c>
      <c r="AU5" s="107">
        <f>LET(
  TargetYear, AU4,
  StartYear, 'Person 2 Calculator'!$F$4,
  EndYear, 'Person 2 Calculator'!$F$5,
  SIPPflag, Income!$K$4,
  IF(
    SIPPflag = 0,
    IF(TargetYear &lt; StartYear, 4,
      IF(TargetYear = StartYear, 5,
        IF(AND(TargetYear &gt; StartYear, TargetYear &lt; EndYear), 6,
          IF(TargetYear &gt;= EndYear, 7, "")
        )
      )
    ),
    IFS(
      TargetYear &lt; StartYear, 0,
      TargetYear = StartYear, 1,
      AND(TargetYear &gt; StartYear, TargetYear &lt; EndYear), 2,
      TargetYear &gt;= EndYear, 3
    )
  )
)
</f>
        <v>7</v>
      </c>
      <c r="AV5" s="107">
        <f>LET(
  TargetYear, AV4,
  StartYear, 'Person 2 Calculator'!$F$4,
  EndYear, 'Person 2 Calculator'!$F$5,
  SIPPflag, Income!$K$4,
  IF(
    SIPPflag = 0,
    IF(TargetYear &lt; StartYear, 4,
      IF(TargetYear = StartYear, 5,
        IF(AND(TargetYear &gt; StartYear, TargetYear &lt; EndYear), 6,
          IF(TargetYear &gt;= EndYear, 7, "")
        )
      )
    ),
    IFS(
      TargetYear &lt; StartYear, 0,
      TargetYear = StartYear, 1,
      AND(TargetYear &gt; StartYear, TargetYear &lt; EndYear), 2,
      TargetYear &gt;= EndYear, 3
    )
  )
)
</f>
        <v>7</v>
      </c>
      <c r="AW5" s="108"/>
    </row>
    <row r="6">
      <c r="A6" s="109" t="s">
        <v>54</v>
      </c>
      <c r="B6" s="123"/>
      <c r="C6" s="123"/>
      <c r="D6" s="110" t="str">
        <f>if(D5&gt;3,,
LET(
  CurrentYear, D4,
  PreviousYearValue, C6,
  ActionCode, N(D5),
  DeductionAmount, D7,
  InitialSeedValue, Income!$K$4,
  AnnualGrowthRate, Income!$L$4,
  FixedAnnualAddition, Income!$N$4,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
      </c>
      <c r="E6" s="110" t="str">
        <f>if(D6&lt;0,D6, LET(
  CurrentYear, E4,
  PreviousYearValue, D6,
  ActionCode, N(E5),
  DeductionAmount, E7,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
      </c>
      <c r="F6" s="110" t="str">
        <f>if(E6&lt;0,E6, LET(
  CurrentYear, F4,
  PreviousYearValue, E6,
  ActionCode, N(F5),
  DeductionAmount, F7,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
      </c>
      <c r="G6" s="110" t="str">
        <f>if(F6&lt;0,F6, LET(
  CurrentYear, G4,
  PreviousYearValue, F6,
  ActionCode, N(G5),
  DeductionAmount, G7,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
      </c>
      <c r="H6" s="110" t="str">
        <f>if(G6&lt;0,G6, LET(
  CurrentYear, H4,
  PreviousYearValue, G6,
  ActionCode, N(H5),
  DeductionAmount, H7,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
      </c>
      <c r="I6" s="110" t="str">
        <f>if(H6&lt;0,H6, LET(
  CurrentYear, I4,
  PreviousYearValue, H6,
  ActionCode, N(I5),
  DeductionAmount, I7,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
      </c>
      <c r="J6" s="110" t="str">
        <f>if(I6&lt;0,I6, LET(
  CurrentYear, J4,
  PreviousYearValue, I6,
  ActionCode, N(J5),
  DeductionAmount, J7,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
      </c>
      <c r="K6" s="110" t="str">
        <f>if(J6&lt;0,J6, LET(
  CurrentYear, K4,
  PreviousYearValue, J6,
  ActionCode, N(K5),
  DeductionAmount, K7,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
      </c>
      <c r="L6" s="110" t="str">
        <f>if(K6&lt;0,K6, LET(
  CurrentYear, L4,
  PreviousYearValue, K6,
  ActionCode, N(L5),
  DeductionAmount, L7,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
      </c>
      <c r="M6" s="110" t="str">
        <f>if(L6&lt;0,L6, LET(
  CurrentYear, M4,
  PreviousYearValue, L6,
  ActionCode, N(M5),
  DeductionAmount, M7,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
      </c>
      <c r="N6" s="110" t="str">
        <f>if(M6&lt;0,M6, LET(
  CurrentYear, N4,
  PreviousYearValue, M6,
  ActionCode, N(N5),
  DeductionAmount, N7,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
      </c>
      <c r="O6" s="110" t="str">
        <f>if(N6&lt;0,N6, LET(
  CurrentYear, O4,
  PreviousYearValue, N6,
  ActionCode, N(O5),
  DeductionAmount, O7,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
      </c>
      <c r="P6" s="110" t="str">
        <f>if(O6&lt;0,O6, LET(
  CurrentYear, P4,
  PreviousYearValue, O6,
  ActionCode, N(P5),
  DeductionAmount, P7,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
      </c>
      <c r="Q6" s="110" t="str">
        <f>if(P6&lt;0,P6, LET(
  CurrentYear, Q4,
  PreviousYearValue, P6,
  ActionCode, N(Q5),
  DeductionAmount, Q7,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
      </c>
      <c r="R6" s="110" t="str">
        <f>if(Q6&lt;0,Q6, LET(
  CurrentYear, R4,
  PreviousYearValue, Q6,
  ActionCode, N(R5),
  DeductionAmount, R7,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
      </c>
      <c r="S6" s="110" t="str">
        <f>if(R6&lt;0,R6, LET(
  CurrentYear, S4,
  PreviousYearValue, R6,
  ActionCode, N(S5),
  DeductionAmount, S7,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
      </c>
      <c r="T6" s="110" t="str">
        <f>if(S6&lt;0,S6, LET(
  CurrentYear, T4,
  PreviousYearValue, S6,
  ActionCode, N(T5),
  DeductionAmount, T7,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
      </c>
      <c r="U6" s="110" t="str">
        <f>if(T6&lt;0,T6, LET(
  CurrentYear, U4,
  PreviousYearValue, T6,
  ActionCode, N(U5),
  DeductionAmount, U7,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
      </c>
      <c r="V6" s="110" t="str">
        <f>if(U6&lt;0,U6, LET(
  CurrentYear, V4,
  PreviousYearValue, U6,
  ActionCode, N(V5),
  DeductionAmount, V7,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
      </c>
      <c r="W6" s="110" t="str">
        <f>if(V6&lt;0,V6, LET(
  CurrentYear, W4,
  PreviousYearValue, V6,
  ActionCode, N(W5),
  DeductionAmount, W7,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
      </c>
      <c r="X6" s="110" t="str">
        <f>if(W6&lt;0,W6, LET(
  CurrentYear, X4,
  PreviousYearValue, W6,
  ActionCode, N(X5),
  DeductionAmount, X7,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
      </c>
      <c r="Y6" s="110" t="str">
        <f>if(X6&lt;0,X6, LET(
  CurrentYear, Y4,
  PreviousYearValue, X6,
  ActionCode, N(Y5),
  DeductionAmount, Y7,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
      </c>
      <c r="Z6" s="110" t="str">
        <f>if(Y6&lt;0,Y6, LET(
  CurrentYear, Z4,
  PreviousYearValue, Y6,
  ActionCode, N(Z5),
  DeductionAmount, Z7,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
      </c>
      <c r="AA6" s="110" t="str">
        <f>if(Z6&lt;0,Z6, LET(
  CurrentYear, AA4,
  PreviousYearValue, Z6,
  ActionCode, N(AA5),
  DeductionAmount, AA7,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
      </c>
      <c r="AB6" s="110" t="str">
        <f>if(AA6&lt;0,AA6, LET(
  CurrentYear, AB4,
  PreviousYearValue, AA6,
  ActionCode, N(AB5),
  DeductionAmount, AB7,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
      </c>
      <c r="AC6" s="110" t="str">
        <f>if(AB6&lt;0,AB6, LET(
  CurrentYear, AC4,
  PreviousYearValue, AB6,
  ActionCode, N(AC5),
  DeductionAmount, AC7,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
      </c>
      <c r="AD6" s="110" t="str">
        <f>if(AC6&lt;0,AC6, LET(
  CurrentYear, AD4,
  PreviousYearValue, AC6,
  ActionCode, N(AD5),
  DeductionAmount, AD7,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
      </c>
      <c r="AE6" s="110" t="str">
        <f>if(AD6&lt;0,AD6, LET(
  CurrentYear, AE4,
  PreviousYearValue, AD6,
  ActionCode, N(AE5),
  DeductionAmount, AE7,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
      </c>
      <c r="AF6" s="110" t="str">
        <f>if(AE6&lt;0,AE6, LET(
  CurrentYear, AF4,
  PreviousYearValue, AE6,
  ActionCode, N(AF5),
  DeductionAmount, AF7,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
      </c>
      <c r="AG6" s="110" t="str">
        <f>if(AF6&lt;0,AF6, LET(
  CurrentYear, AG4,
  PreviousYearValue, AF6,
  ActionCode, N(AG5),
  DeductionAmount, AG7,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
      </c>
      <c r="AH6" s="110" t="str">
        <f>if(AG6&lt;0,AG6, LET(
  CurrentYear, AH4,
  PreviousYearValue, AG6,
  ActionCode, N(AH5),
  DeductionAmount, AH7,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
      </c>
      <c r="AI6" s="110" t="str">
        <f>if(AH6&lt;0,AH6, LET(
  CurrentYear, AI4,
  PreviousYearValue, AH6,
  ActionCode, N(AI5),
  DeductionAmount, AI7,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
      </c>
      <c r="AJ6" s="110" t="str">
        <f>if(AI6&lt;0,AI6, LET(
  CurrentYear, AJ4,
  PreviousYearValue, AI6,
  ActionCode, N(AJ5),
  DeductionAmount, AJ7,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
      </c>
      <c r="AK6" s="110" t="str">
        <f>if(AJ6&lt;0,AJ6, LET(
  CurrentYear, AK4,
  PreviousYearValue, AJ6,
  ActionCode, N(AK5),
  DeductionAmount, AK7,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
      </c>
      <c r="AL6" s="110" t="str">
        <f>if(AK6&lt;0,AK6, LET(
  CurrentYear, AL4,
  PreviousYearValue, AK6,
  ActionCode, N(AL5),
  DeductionAmount, AL7,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
      </c>
      <c r="AM6" s="110" t="str">
        <f>if(AL6&lt;0,AL6, LET(
  CurrentYear, AM4,
  PreviousYearValue, AL6,
  ActionCode, N(AM5),
  DeductionAmount, AM7,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
      </c>
      <c r="AN6" s="110" t="str">
        <f>if(AM6&lt;0,AM6, LET(
  CurrentYear, AN4,
  PreviousYearValue, AM6,
  ActionCode, N(AN5),
  DeductionAmount, AN7,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
      </c>
      <c r="AO6" s="110" t="str">
        <f>if(AN6&lt;0,AN6, LET(
  CurrentYear, AO4,
  PreviousYearValue, AN6,
  ActionCode, N(AO5),
  DeductionAmount, AO7,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
      </c>
      <c r="AP6" s="110" t="str">
        <f>if(AO6&lt;0,AO6, LET(
  CurrentYear, AP4,
  PreviousYearValue, AO6,
  ActionCode, N(AP5),
  DeductionAmount, AP7,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
      </c>
      <c r="AQ6" s="110" t="str">
        <f>if(AP6&lt;0,AP6, LET(
  CurrentYear, AQ4,
  PreviousYearValue, AP6,
  ActionCode, N(AQ5),
  DeductionAmount, AQ7,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
      </c>
      <c r="AR6" s="110" t="str">
        <f>if(AQ6&lt;0,AQ6, LET(
  CurrentYear, AR4,
  PreviousYearValue, AQ6,
  ActionCode, N(AR5),
  DeductionAmount, AR7,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
      </c>
      <c r="AS6" s="110" t="str">
        <f>if(AR6&lt;0,AR6, LET(
  CurrentYear, AS4,
  PreviousYearValue, AR6,
  ActionCode, N(AS5),
  DeductionAmount, AS7,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
      </c>
      <c r="AT6" s="110" t="str">
        <f>if(AS6&lt;0,AS6, LET(
  CurrentYear, AT4,
  PreviousYearValue, AS6,
  ActionCode, N(AT5),
  DeductionAmount, AT7,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
      </c>
      <c r="AU6" s="110" t="str">
        <f>if(AT6&lt;0,AT6, LET(
  CurrentYear, AU4,
  PreviousYearValue, AT6,
  ActionCode, N(AU5),
  DeductionAmount, AU7,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
      </c>
      <c r="AV6" s="110" t="str">
        <f>if(AU6&lt;0,AU6, LET(
  CurrentYear, AV4,
  PreviousYearValue, AU6,
  ActionCode, N(AV5),
  DeductionAmount, AV7,
  InitialSeedValue, Income!$D$4,
  AnnualGrowthRate, Income!$E$4,
  FixedAnnualAddition, Income!$G$4,
  CalculationValue, IF(N(PreviousYearValue)=0, InitialSeedValue, PreviousYearValue),
  ProrataFactor, IF(CurrentYear = YEAR(TODAY()), (12 - MONTH(TODAY()) + 1) / 12, 1),
  GrowthAmount, CalculationValue * AnnualGrowthRate,
  IsYearInPast, CurrentYear &lt; YEAR(TODAY()),
  IsStopCode, ActionCode = 3,
  IF(OR(IsYearInPast, IsStopCode), 
    "",
    SWITCH(ActionCode,
      0, CalculationValue + (GrowthAmount + FixedAnnualAddition) * ProrataFactor,
      1, CalculationValue + (GrowthAmount - DeductionAmount) * ProrataFactor,
      2, CalculationValue + (GrowthAmount - DeductionAmount) * ProrataFactor,
      ""
    )
  )
)
)</f>
        <v/>
      </c>
      <c r="AW6" s="125"/>
    </row>
    <row r="7">
      <c r="A7" s="111" t="s">
        <v>55</v>
      </c>
      <c r="B7" s="92"/>
      <c r="C7" s="92"/>
      <c r="D7" s="112" t="str">
        <f>IF(OR(D5=1,D5=2,D5=5,D5=6), D26-D12-D14-D16-D18-D20-D22, )</f>
        <v/>
      </c>
      <c r="E7" s="112" t="str">
        <f>LET(
  base, E26 - E12 - E14 - E16 - E18 - E20 - E22,
  action, N(E5),
  IFS(
    action = 0, "",
    action = 1, base,
    action = 2, IF(
      ISNUMBER(SEARCH("Smooth", 'Person 2 Calculator'!$F$20)),
      MAX(base, 0),
      D7
    ),
    action &gt;= 3, ""
  )
)
</f>
        <v/>
      </c>
      <c r="F7" s="112" t="str">
        <f>LET(
  base, F26 - F12 - F14 - F16 - F18 - F20 - F22,
  action, N(F5),
  IFS(
    action = 0, "",
    action = 1, base,
    action = 2, IF(
      ISNUMBER(SEARCH("Smooth", 'Person 2 Calculator'!$F$20)),
      MAX(base, 0),
      E7
    ),
    action &gt;= 3, ""
  )
)
</f>
        <v/>
      </c>
      <c r="G7" s="112" t="str">
        <f>LET(
  base, G26 - G12 - G14 - G16 - G18 - G20 - G22,
  action, N(G5),
  IFS(
    action = 0, "",
    action = 1, base,
    action = 2, IF(
      ISNUMBER(SEARCH("Smooth", 'Person 2 Calculator'!$F$20)),
      MAX(base, 0),
      F7
    ),
    action &gt;= 3, ""
  )
)
</f>
        <v/>
      </c>
      <c r="H7" s="112" t="str">
        <f>LET(
  base, H26 - H12 - H14 - H16 - H18 - H20 - H22,
  action, N(H5),
  IFS(
    action = 0, "",
    action = 1, base,
    action = 2, IF(
      ISNUMBER(SEARCH("Smooth", 'Person 2 Calculator'!$F$20)),
      MAX(base, 0),
      G7
    ),
    action &gt;= 3, ""
  )
)
</f>
        <v/>
      </c>
      <c r="I7" s="112" t="str">
        <f>IF(OR(I5=1, I5=2), I26-I12-I14-I16-I18-I20-I22, )</f>
        <v/>
      </c>
      <c r="J7" s="112" t="str">
        <f>LET(
  base, J26 - J12 - J14 - J16 - J18 - J20 - J22,
  action, N(J5),
  IFS(
    action = 0, "",
    action = 1, base,
    action = 2, IF(
      ISNUMBER(SEARCH("Smooth", 'Person 2 Calculator'!$F$20)),
      MAX(base, 0),
      I7
    ),
    action &gt;= 3, ""
  )
)
</f>
        <v/>
      </c>
      <c r="K7" s="112" t="str">
        <f>LET(
  base, K26 - K12 - K14 - K16 - K18 - K20 - K22,
  action, N(K5),
  IFS(
    action = 0, "",
    action = 1, base,
    action = 2, IF(
      ISNUMBER(SEARCH("Smooth", 'Person 2 Calculator'!$F$20)),
      MAX(base, 0),
      J7
    ),
    action &gt;= 3, ""
  )
)
</f>
        <v/>
      </c>
      <c r="L7" s="112" t="str">
        <f>LET(
  base, L26 - L12 - L14 - L16 - L18 - L20 - L22,
  action, N(L5),
  IFS(
    action = 0, "",
    action = 1, base,
    action = 2, IF(
      ISNUMBER(SEARCH("Smooth", 'Person 2 Calculator'!$F$20)),
      MAX(base, 0),
      K7
    ),
    action &gt;= 3, ""
  )
)
</f>
        <v/>
      </c>
      <c r="M7" s="112" t="str">
        <f>LET(
  base, M26 - M12 - M14 - M16 - M18 - M20 - M22,
  action, N(M5),
  IFS(
    action = 0, "",
    action = 1, base,
    action = 2, IF(
      ISNUMBER(SEARCH("Smooth", 'Person 2 Calculator'!$F$20)),
      MAX(base, 0),
      L7
    ),
    action &gt;= 3, ""
  )
)
</f>
        <v/>
      </c>
      <c r="N7" s="112" t="str">
        <f>IF(OR(N5=1, N5=2), N26-N12-N14-N16-N18-N20-N22, )</f>
        <v/>
      </c>
      <c r="O7" s="112" t="str">
        <f>LET(
  base, O26 - O12 - O14 - O16 - O18 - O20 - O22,
  action, N(O5),
  IFS(
    action = 0, "",
    action = 1, base,
    action = 2, IF(
      ISNUMBER(SEARCH("Smooth", 'Person 2 Calculator'!$F$20)),
      MAX(base, 0),
      N7
    ),
    action &gt;= 3, ""
  )
)
</f>
        <v/>
      </c>
      <c r="P7" s="112" t="str">
        <f>LET(
  base, P26 - P12 - P14 - P16 - P18 - P20 - P22,
  raw,
    IFS(
      P5 = 0, "",
      P5 = 1, base,
      P5 = 2, IF(
              ISNUMBER(SEARCH("Smooth", 'Person 2 Calculator'!$F$20)),
              base,
              O7 - P16
            ),
      P5 &gt;= 3, ""
    ),
  IF(ISNUMBER(raw), MAX(raw, 0), raw)
)
</f>
        <v/>
      </c>
      <c r="Q7" s="112" t="str">
        <f>LET(
  base, Q26 - Q12 - Q14 - Q16 - Q18 - Q20 - Q22,
  action, N(Q5),
  IFS(
    action = 0, "",
    action = 1, base,
    action = 2, IF(
      ISNUMBER(SEARCH("Smooth", 'Person 2 Calculator'!$F$20)),
      MAX(base, 0),
      P7
    ),
    action &gt;= 3, ""
  )
)
</f>
        <v/>
      </c>
      <c r="R7" s="112" t="str">
        <f>LET(
  base, R26 - R12 - R14 - R16 - R18 - R20 - R22,
  action, N(R5),
  IFS(
    action = 0, "",
    action = 1, base,
    action = 2, IF(
      ISNUMBER(SEARCH("Smooth", 'Person 2 Calculator'!$F$20)),
      MAX(base, 0),
      Q7
    ),
    action &gt;= 3, ""
  )
)
</f>
        <v/>
      </c>
      <c r="S7" s="112" t="str">
        <f>IF(
  OR(S5 = 1, S5 = 2),
  MAX(0, (1-'Person 2 Calculator'!$F$16)*S26 - S12 - S14 - S16 - S18 - S20 - S22),
  ""
)
</f>
        <v/>
      </c>
      <c r="T7" s="112" t="str">
        <f>LET(
  base, (1-'Person 2 Calculator'!$F$16)*T26 - T12 - T14 - T16 - T18 - T20 - T22,
  action, N(T5),
  IFS(
    action = 0, "",
    action = 1, base,
    action = 2, IF(
      ISNUMBER(SEARCH("Smooth", 'Person 2 Calculator'!$F$20)),
      MAX(base, 0),
      S7
    ),
    action &gt;= 3, ""
  )
)
</f>
        <v/>
      </c>
      <c r="U7" s="112" t="str">
        <f>LET(
  base, (1-'Person 2 Calculator'!$F$16)*U26 - U12 - U14 - U16 - U18 - U20 - U22,
  action, N(U5),
  IFS(
    action = 0, "",
    action = 1, base,
    action = 2, IF(
      ISNUMBER(SEARCH("Smooth", 'Person 2 Calculator'!$F$20)),
      MAX(base, 0),
      T7
    ),
    action &gt;= 3, ""
  )
)
</f>
        <v/>
      </c>
      <c r="V7" s="112" t="str">
        <f>LET(
  base, (1-'Person 2 Calculator'!$F$16)*V26 - V12 - V14 - V16 - V18 - V20 - V22,
  action, N(V5),
  IFS(
    action = 0, "",
    action = 1, base,
    action = 2, IF(
      ISNUMBER(SEARCH("Smooth", 'Person 2 Calculator'!$F$20)),
      MAX(base, 0),
      U7
    ),
    action &gt;= 3, ""
  )
)
</f>
        <v/>
      </c>
      <c r="W7" s="112" t="str">
        <f>LET(
  base, (1-'Person 2 Calculator'!$F$16)*W26 - W12 - W14 - W16 - W18 - W20 - W22,
  action, N(W5),
  IFS(
    action = 0, "",
    action = 1, base,
    action = 2, IF(
      ISNUMBER(SEARCH("Smooth", 'Person 2 Calculator'!$F$20)),
      MAX(base, 0),
      V7
    ),
    action &gt;= 3, ""
  )
)
</f>
        <v/>
      </c>
      <c r="X7" s="112" t="str">
        <f>IF(
  OR(X5 = 1, X5 = 2),
  MAX(0, (1-'Person 2 Calculator'!$F$16)*X26 - X12 - X14 - X16 - X18 - X20 - X22),
  ""
)
</f>
        <v/>
      </c>
      <c r="Y7" s="112" t="str">
        <f>LET(
  base, (1-'Person 2 Calculator'!$F$16)*Y26 - Y12 - Y14 - Y16 - Y18 - Y20 - Y22,
  action, N(Y5),
  IFS(
    action = 0, "",
    action = 1, base,
    action = 2, IF(
      ISNUMBER(SEARCH("Smooth", 'Person 2 Calculator'!$F$20)),
      MAX(base, 0),
      X7
    ),
    action &gt;= 3, ""
  )
)
</f>
        <v/>
      </c>
      <c r="Z7" s="112" t="str">
        <f>LET(
  base, (1-'Person 2 Calculator'!$F$16)*Z26 - Z12 - Z14 - Z16 - Z18 - Z20 - Z22,
  action, N(Z5),
  IFS(
    action = 0, "",
    action = 1, base,
    action = 2, IF(
      ISNUMBER(SEARCH("Smooth", 'Person 2 Calculator'!$F$20)),
      MAX(base, 0),
      Y7
    ),
    action &gt;= 3, ""
  )
)
</f>
        <v/>
      </c>
      <c r="AA7" s="112" t="str">
        <f>LET(
  base, (1-'Person 2 Calculator'!$F$16)*AA26 - AA12 - AA14 - AA16 - AA18 - AA20 - AA22,
  action, N(AA5),
  IFS(
    action = 0, "",
    action = 1, base,
    action = 2, IF(
      ISNUMBER(SEARCH("Smooth", 'Person 2 Calculator'!$F$20)),
      MAX(base, 0),
      Z7
    ),
    action &gt;= 3, ""
  )
)
</f>
        <v/>
      </c>
      <c r="AB7" s="112" t="str">
        <f>LET(
  base, (1-'Person 2 Calculator'!$F$16)*AB26 - AB12 - AB14 - AB16 - AB18 - AB20 - AB22,
  action, N(AB5),
  IFS(
    action = 0, "",
    action = 1, base,
    action = 2, IF(
      ISNUMBER(SEARCH("Smooth", 'Person 2 Calculator'!$F$20)),
      MAX(base, 0),
      AA7
    ),
    action &gt;= 3, ""
  )
)
</f>
        <v/>
      </c>
      <c r="AC7" s="112" t="str">
        <f>IF(
  OR(AC5 = 1, AC5 = 2),
  MAX(0, (1-'Person 2 Calculator'!$F$17)*AC26 - AC12 - AC14 - AC16 - AC18 - AC20 - AC22),
  ""
)
</f>
        <v/>
      </c>
      <c r="AD7" s="112" t="str">
        <f>LET(
  base, (1-'Person 2 Calculator'!$F$17)*AD26 - AD12 - AD14 - AD16 - AD18 - AD20 - AD22,
  action, N(AD5),
  IFS(
    action = 0, "",
    action = 1, base,
    action = 2, IF(
      ISNUMBER(SEARCH("Smooth", 'Person 2 Calculator'!$F$20)),
      MAX(base, 0),
      AC7
    ),
    action &gt;= 3, ""
  )
)
</f>
        <v/>
      </c>
      <c r="AE7" s="112" t="str">
        <f>LET(
  base, (1-'Person 2 Calculator'!$F$17)*AE26 - AE12 - AE14 - AE16 - AE18 - AE20 - AE22,
  action, N(AE5),
  IFS(
    action = 0, "",
    action = 1, base,
    action = 2, IF(
      ISNUMBER(SEARCH("Smooth", 'Person 2 Calculator'!$F$20)),
      MAX(base, 0),
      AD7
    ),
    action &gt;= 3, ""
  )
)
</f>
        <v/>
      </c>
      <c r="AF7" s="112" t="str">
        <f>LET(
  base, (1-'Person 2 Calculator'!$F$17)*AF26 - AF12 - AF14 - AF16 - AF18 - AF20 - AF22,
  action, N(AF5),
  IFS(
    action = 0, "",
    action = 1, base,
    action = 2, IF(
      ISNUMBER(SEARCH("Smooth", 'Person 2 Calculator'!$F$20)),
      MAX(base, 0),
      AE7
    ),
    action &gt;= 3, ""
  )
)
</f>
        <v/>
      </c>
      <c r="AG7" s="112" t="str">
        <f>LET(
  base, (1-'Person 2 Calculator'!$F$17)*AG26 - AG12 - AG14 - AG16 - AG18 - AG20 - AG22,
  action, N(AG5),
  IFS(
    action = 0, "",
    action = 1, base,
    action = 2, IF(
      ISNUMBER(SEARCH("Smooth", 'Person 2 Calculator'!$F$20)),
      MAX(base, 0),
      AF7
    ),
    action &gt;= 3, ""
  )
)
</f>
        <v/>
      </c>
      <c r="AH7" s="112" t="str">
        <f>IF(
  OR(AH5 = 1, AH5 = 2),
  MAX(0, (1-'Person 2 Calculator'!$F$17)*AH26 - AH12 - AH14 - AH16 - AH18 - AH20 - AH22),
  ""
)
</f>
        <v/>
      </c>
      <c r="AI7" s="112" t="str">
        <f>LET(
  base, (1-'Person 2 Calculator'!$F$17)*AI26 - AI12 - AI14 - AI16 - AI18 - AI20 - AI22,
  action, N(AI5),
  IFS(
    action = 0, "",
    action = 1, base,
    action = 2, IF(
      ISNUMBER(SEARCH("Smooth", 'Person 2 Calculator'!$F$20)),
      MAX(base, 0),
      AH7
    ),
    action &gt;= 3, ""
  )
)
</f>
        <v/>
      </c>
      <c r="AJ7" s="112" t="str">
        <f>LET(
  base, (1-'Person 2 Calculator'!$F$17)*AJ26 - AJ12 - AJ14 - AJ16 - AJ18 - AJ20 - AJ22,
  action, N(AJ5),
  IFS(
    action = 0, "",
    action = 1, base,
    action = 2, IF(
      ISNUMBER(SEARCH("Smooth", 'Person 2 Calculator'!$F$20)),
      MAX(base, 0),
      AI7
    ),
    action &gt;= 3, ""
  )
)
</f>
        <v/>
      </c>
      <c r="AK7" s="112" t="str">
        <f>LET(
  base, (1-'Person 2 Calculator'!$F$17)*AK26 - AK12 - AK14 - AK16 - AK18 - AK20 - AK22,
  action, N(AK5),
  IFS(
    action = 0, "",
    action = 1, base,
    action = 2, IF(
      ISNUMBER(SEARCH("Smooth", 'Person 2 Calculator'!$F$20)),
      MAX(base, 0),
      AJ7
    ),
    action &gt;= 3, ""
  )
)
</f>
        <v/>
      </c>
      <c r="AL7" s="112" t="str">
        <f>LET(
  base, (1-'Person 2 Calculator'!$F$17)*AL26 - AL12 - AL14 - AL16 - AL18 - AL20 - AL22,
  action, N(AL5),
  IFS(
    action = 0, "",
    action = 1, base,
    action = 2, IF(
      ISNUMBER(SEARCH("Smooth", 'Person 2 Calculator'!$F$20)),
      MAX(base, 0),
      AK7
    ),
    action &gt;= 3, ""
  )
)
</f>
        <v/>
      </c>
      <c r="AM7" s="112" t="str">
        <f>IF(
  OR(AM5 = 1, AM5 = 2),
  MAX(0, (1-'Person 2 Calculator'!$F$17)*AM26 - AM12 - AM14 - AM16 - AM18 - AM20 - AM22),
  ""
)
</f>
        <v/>
      </c>
      <c r="AN7" s="112" t="str">
        <f>LET(
  base, (1-'Person 2 Calculator'!$F$17)*AN26 - AN12 - AN14 - AN16 - AN18 - AN20 - AN22,
  action, N(AN5),
  IFS(
    action = 0, "",
    action = 1, base,
    action = 2, IF(
      ISNUMBER(SEARCH("Smooth", 'Person 2 Calculator'!$F$20)),
      MAX(base, 0),
      AM7
    ),
    action &gt;= 3, ""
  )
)
</f>
        <v/>
      </c>
      <c r="AO7" s="112" t="str">
        <f>LET(
  base, (1-'Person 2 Calculator'!$F$17)*AO26 - AO12 - AO14 - AO16 - AO18 - AO20 - AO22,
  action, N(AO5),
  IFS(
    action = 0, "",
    action = 1, base,
    action = 2, IF(
      ISNUMBER(SEARCH("Smooth", 'Person 2 Calculator'!$F$20)),
      MAX(base, 0),
      AN7
    ),
    action &gt;= 3, ""
  )
)
</f>
        <v/>
      </c>
      <c r="AP7" s="112" t="str">
        <f>LET(
  base, (1-'Person 2 Calculator'!$F$17)*AP26 - AP12 - AP14 - AP16 - AP18 - AP20 - AP22,
  action, N(AP5),
  IFS(
    action = 0, "",
    action = 1, base,
    action = 2, IF(
      ISNUMBER(SEARCH("Smooth", 'Person 2 Calculator'!$F$20)),
      MAX(base, 0),
      AO7
    ),
    action &gt;= 3, ""
  )
)
</f>
        <v/>
      </c>
      <c r="AQ7" s="112" t="str">
        <f>LET(
  base, (1-'Person 2 Calculator'!$F$17)*AQ26 - AQ12 - AQ14 - AQ16 - AQ18 - AQ20 - AQ22,
  action, N(AQ5),
  IFS(
    action = 0, "",
    action = 1, base,
    action = 2, IF(
      ISNUMBER(SEARCH("Smooth", 'Person 2 Calculator'!$F$20)),
      MAX(base, 0),
      AP7
    ),
    action &gt;= 3, ""
  )
)
</f>
        <v/>
      </c>
      <c r="AR7" s="112" t="str">
        <f>IF(
  OR(AR5 = 1, AR5 = 2),
  MAX(0, (1-'Person 2 Calculator'!$F$17)*AR26 - AR12 - AR14 - AR16 - AR18 - AR20 - AR22),
  ""
)
</f>
        <v/>
      </c>
      <c r="AS7" s="112" t="str">
        <f>LET(
  base, (1-'Person 2 Calculator'!$F$17)*AS26 - AS12 - AS14 - AS16 - AS18 - AS20 - AS22,
  action, N(AS5),
  IFS(
    action = 0, "",
    action = 1, base,
    action = 2, IF(
      ISNUMBER(SEARCH("Smooth", 'Person 2 Calculator'!$F$20)),
      MAX(base, 0),
      AR7
    ),
    action &gt;= 3, ""
  )
)
</f>
        <v/>
      </c>
      <c r="AT7" s="112" t="str">
        <f>LET(
  base, (1-'Person 2 Calculator'!$F$17)*AT26 - AT12 - AT14 - AT16 - AT18 - AT20 - AT22,
  action, N(AT5),
  IFS(
    action = 0, "",
    action = 1, base,
    action = 2, IF(
      ISNUMBER(SEARCH("Smooth", 'Person 2 Calculator'!$F$20)),
      MAX(base, 0),
      AS7
    ),
    action &gt;= 3, ""
  )
)
</f>
        <v/>
      </c>
      <c r="AU7" s="112" t="str">
        <f>LET(
  base, (1-'Person 2 Calculator'!$F$17)*AU26 - AU12 - AU14 - AU16 - AU18 - AU20 - AU22,
  action, N(AU5),
  IFS(
    action = 0, "",
    action = 1, base,
    action = 2, IF(
      ISNUMBER(SEARCH("Smooth", 'Person 2 Calculator'!$F$20)),
      MAX(base, 0),
      AT7
    ),
    action &gt;= 3, ""
  )
)
</f>
        <v/>
      </c>
      <c r="AV7" s="112" t="str">
        <f>LET(
  base, (1-'Person 2 Calculator'!$F$17)*AV26 - AV12 - AV14 - AV16 - AV18 - AV20 - AV22,
  action, N(AV5),
  IFS(
    action = 0, "",
    action = 1, base,
    action = 2, IF(
      ISNUMBER(SEARCH("Smooth", 'Person 2 Calculator'!$F$20)),
      MAX(base, 0),
      AU7
    ),
    action &gt;= 3, ""
  )
)
</f>
        <v/>
      </c>
      <c r="AW7" s="103"/>
    </row>
    <row r="8">
      <c r="A8" s="113" t="s">
        <v>56</v>
      </c>
      <c r="B8" s="92"/>
      <c r="C8" s="92"/>
      <c r="D8" s="110" t="str">
        <f t="shared" ref="D8:AV8" si="2">if(N(D7)&gt;0,D7*0.75,)</f>
        <v/>
      </c>
      <c r="E8" s="110" t="str">
        <f t="shared" si="2"/>
        <v/>
      </c>
      <c r="F8" s="110" t="str">
        <f t="shared" si="2"/>
        <v/>
      </c>
      <c r="G8" s="110" t="str">
        <f t="shared" si="2"/>
        <v/>
      </c>
      <c r="H8" s="110" t="str">
        <f t="shared" si="2"/>
        <v/>
      </c>
      <c r="I8" s="110" t="str">
        <f t="shared" si="2"/>
        <v/>
      </c>
      <c r="J8" s="110" t="str">
        <f t="shared" si="2"/>
        <v/>
      </c>
      <c r="K8" s="110" t="str">
        <f t="shared" si="2"/>
        <v/>
      </c>
      <c r="L8" s="110" t="str">
        <f t="shared" si="2"/>
        <v/>
      </c>
      <c r="M8" s="110" t="str">
        <f t="shared" si="2"/>
        <v/>
      </c>
      <c r="N8" s="110" t="str">
        <f t="shared" si="2"/>
        <v/>
      </c>
      <c r="O8" s="110" t="str">
        <f t="shared" si="2"/>
        <v/>
      </c>
      <c r="P8" s="110" t="str">
        <f t="shared" si="2"/>
        <v/>
      </c>
      <c r="Q8" s="110" t="str">
        <f t="shared" si="2"/>
        <v/>
      </c>
      <c r="R8" s="110" t="str">
        <f t="shared" si="2"/>
        <v/>
      </c>
      <c r="S8" s="110" t="str">
        <f t="shared" si="2"/>
        <v/>
      </c>
      <c r="T8" s="110" t="str">
        <f t="shared" si="2"/>
        <v/>
      </c>
      <c r="U8" s="110" t="str">
        <f t="shared" si="2"/>
        <v/>
      </c>
      <c r="V8" s="110" t="str">
        <f t="shared" si="2"/>
        <v/>
      </c>
      <c r="W8" s="110" t="str">
        <f t="shared" si="2"/>
        <v/>
      </c>
      <c r="X8" s="110" t="str">
        <f t="shared" si="2"/>
        <v/>
      </c>
      <c r="Y8" s="110" t="str">
        <f t="shared" si="2"/>
        <v/>
      </c>
      <c r="Z8" s="110" t="str">
        <f t="shared" si="2"/>
        <v/>
      </c>
      <c r="AA8" s="110" t="str">
        <f t="shared" si="2"/>
        <v/>
      </c>
      <c r="AB8" s="110" t="str">
        <f t="shared" si="2"/>
        <v/>
      </c>
      <c r="AC8" s="110" t="str">
        <f t="shared" si="2"/>
        <v/>
      </c>
      <c r="AD8" s="110" t="str">
        <f t="shared" si="2"/>
        <v/>
      </c>
      <c r="AE8" s="110" t="str">
        <f t="shared" si="2"/>
        <v/>
      </c>
      <c r="AF8" s="110" t="str">
        <f t="shared" si="2"/>
        <v/>
      </c>
      <c r="AG8" s="110" t="str">
        <f t="shared" si="2"/>
        <v/>
      </c>
      <c r="AH8" s="110" t="str">
        <f t="shared" si="2"/>
        <v/>
      </c>
      <c r="AI8" s="110" t="str">
        <f t="shared" si="2"/>
        <v/>
      </c>
      <c r="AJ8" s="110" t="str">
        <f t="shared" si="2"/>
        <v/>
      </c>
      <c r="AK8" s="110" t="str">
        <f t="shared" si="2"/>
        <v/>
      </c>
      <c r="AL8" s="110" t="str">
        <f t="shared" si="2"/>
        <v/>
      </c>
      <c r="AM8" s="110" t="str">
        <f t="shared" si="2"/>
        <v/>
      </c>
      <c r="AN8" s="110" t="str">
        <f t="shared" si="2"/>
        <v/>
      </c>
      <c r="AO8" s="110" t="str">
        <f t="shared" si="2"/>
        <v/>
      </c>
      <c r="AP8" s="110" t="str">
        <f t="shared" si="2"/>
        <v/>
      </c>
      <c r="AQ8" s="110" t="str">
        <f t="shared" si="2"/>
        <v/>
      </c>
      <c r="AR8" s="110" t="str">
        <f t="shared" si="2"/>
        <v/>
      </c>
      <c r="AS8" s="110" t="str">
        <f t="shared" si="2"/>
        <v/>
      </c>
      <c r="AT8" s="110" t="str">
        <f t="shared" si="2"/>
        <v/>
      </c>
      <c r="AU8" s="110" t="str">
        <f t="shared" si="2"/>
        <v/>
      </c>
      <c r="AV8" s="110" t="str">
        <f t="shared" si="2"/>
        <v/>
      </c>
      <c r="AW8" s="103"/>
    </row>
    <row r="9">
      <c r="A9" s="113" t="s">
        <v>57</v>
      </c>
      <c r="B9" s="92"/>
      <c r="C9" s="92"/>
      <c r="D9" s="110" t="str">
        <f t="shared" ref="D9:AV9" si="3">if(N(D7)&gt;0,D7*0.25,)</f>
        <v/>
      </c>
      <c r="E9" s="110" t="str">
        <f t="shared" si="3"/>
        <v/>
      </c>
      <c r="F9" s="110" t="str">
        <f t="shared" si="3"/>
        <v/>
      </c>
      <c r="G9" s="110" t="str">
        <f t="shared" si="3"/>
        <v/>
      </c>
      <c r="H9" s="110" t="str">
        <f t="shared" si="3"/>
        <v/>
      </c>
      <c r="I9" s="110" t="str">
        <f t="shared" si="3"/>
        <v/>
      </c>
      <c r="J9" s="110" t="str">
        <f t="shared" si="3"/>
        <v/>
      </c>
      <c r="K9" s="110" t="str">
        <f t="shared" si="3"/>
        <v/>
      </c>
      <c r="L9" s="110" t="str">
        <f t="shared" si="3"/>
        <v/>
      </c>
      <c r="M9" s="110" t="str">
        <f t="shared" si="3"/>
        <v/>
      </c>
      <c r="N9" s="110" t="str">
        <f t="shared" si="3"/>
        <v/>
      </c>
      <c r="O9" s="110" t="str">
        <f t="shared" si="3"/>
        <v/>
      </c>
      <c r="P9" s="110" t="str">
        <f t="shared" si="3"/>
        <v/>
      </c>
      <c r="Q9" s="110" t="str">
        <f t="shared" si="3"/>
        <v/>
      </c>
      <c r="R9" s="110" t="str">
        <f t="shared" si="3"/>
        <v/>
      </c>
      <c r="S9" s="110" t="str">
        <f t="shared" si="3"/>
        <v/>
      </c>
      <c r="T9" s="110" t="str">
        <f t="shared" si="3"/>
        <v/>
      </c>
      <c r="U9" s="110" t="str">
        <f t="shared" si="3"/>
        <v/>
      </c>
      <c r="V9" s="110" t="str">
        <f t="shared" si="3"/>
        <v/>
      </c>
      <c r="W9" s="110" t="str">
        <f t="shared" si="3"/>
        <v/>
      </c>
      <c r="X9" s="110" t="str">
        <f t="shared" si="3"/>
        <v/>
      </c>
      <c r="Y9" s="110" t="str">
        <f t="shared" si="3"/>
        <v/>
      </c>
      <c r="Z9" s="110" t="str">
        <f t="shared" si="3"/>
        <v/>
      </c>
      <c r="AA9" s="110" t="str">
        <f t="shared" si="3"/>
        <v/>
      </c>
      <c r="AB9" s="110" t="str">
        <f t="shared" si="3"/>
        <v/>
      </c>
      <c r="AC9" s="110" t="str">
        <f t="shared" si="3"/>
        <v/>
      </c>
      <c r="AD9" s="110" t="str">
        <f t="shared" si="3"/>
        <v/>
      </c>
      <c r="AE9" s="110" t="str">
        <f t="shared" si="3"/>
        <v/>
      </c>
      <c r="AF9" s="110" t="str">
        <f t="shared" si="3"/>
        <v/>
      </c>
      <c r="AG9" s="110" t="str">
        <f t="shared" si="3"/>
        <v/>
      </c>
      <c r="AH9" s="110" t="str">
        <f t="shared" si="3"/>
        <v/>
      </c>
      <c r="AI9" s="110" t="str">
        <f t="shared" si="3"/>
        <v/>
      </c>
      <c r="AJ9" s="110" t="str">
        <f t="shared" si="3"/>
        <v/>
      </c>
      <c r="AK9" s="110" t="str">
        <f t="shared" si="3"/>
        <v/>
      </c>
      <c r="AL9" s="110" t="str">
        <f t="shared" si="3"/>
        <v/>
      </c>
      <c r="AM9" s="110" t="str">
        <f t="shared" si="3"/>
        <v/>
      </c>
      <c r="AN9" s="110" t="str">
        <f t="shared" si="3"/>
        <v/>
      </c>
      <c r="AO9" s="110" t="str">
        <f t="shared" si="3"/>
        <v/>
      </c>
      <c r="AP9" s="110" t="str">
        <f t="shared" si="3"/>
        <v/>
      </c>
      <c r="AQ9" s="110" t="str">
        <f t="shared" si="3"/>
        <v/>
      </c>
      <c r="AR9" s="110" t="str">
        <f t="shared" si="3"/>
        <v/>
      </c>
      <c r="AS9" s="110" t="str">
        <f t="shared" si="3"/>
        <v/>
      </c>
      <c r="AT9" s="110" t="str">
        <f t="shared" si="3"/>
        <v/>
      </c>
      <c r="AU9" s="110" t="str">
        <f t="shared" si="3"/>
        <v/>
      </c>
      <c r="AV9" s="110" t="str">
        <f t="shared" si="3"/>
        <v/>
      </c>
      <c r="AW9" s="103"/>
    </row>
    <row r="10">
      <c r="A10" s="113" t="s">
        <v>58</v>
      </c>
      <c r="B10" s="92"/>
      <c r="C10" s="92"/>
      <c r="D10" s="110" t="str">
        <f>D9</f>
        <v/>
      </c>
      <c r="E10" s="110" t="str">
        <f t="shared" ref="E10:AV10" si="4">if(OR(E5=1,E5=2),D10+E9,)</f>
        <v/>
      </c>
      <c r="F10" s="110" t="str">
        <f t="shared" si="4"/>
        <v/>
      </c>
      <c r="G10" s="110" t="str">
        <f t="shared" si="4"/>
        <v/>
      </c>
      <c r="H10" s="110" t="str">
        <f t="shared" si="4"/>
        <v/>
      </c>
      <c r="I10" s="110" t="str">
        <f t="shared" si="4"/>
        <v/>
      </c>
      <c r="J10" s="110" t="str">
        <f t="shared" si="4"/>
        <v/>
      </c>
      <c r="K10" s="110" t="str">
        <f t="shared" si="4"/>
        <v/>
      </c>
      <c r="L10" s="110" t="str">
        <f t="shared" si="4"/>
        <v/>
      </c>
      <c r="M10" s="110" t="str">
        <f t="shared" si="4"/>
        <v/>
      </c>
      <c r="N10" s="110" t="str">
        <f t="shared" si="4"/>
        <v/>
      </c>
      <c r="O10" s="110" t="str">
        <f t="shared" si="4"/>
        <v/>
      </c>
      <c r="P10" s="110" t="str">
        <f t="shared" si="4"/>
        <v/>
      </c>
      <c r="Q10" s="110" t="str">
        <f t="shared" si="4"/>
        <v/>
      </c>
      <c r="R10" s="110" t="str">
        <f t="shared" si="4"/>
        <v/>
      </c>
      <c r="S10" s="110" t="str">
        <f t="shared" si="4"/>
        <v/>
      </c>
      <c r="T10" s="110" t="str">
        <f t="shared" si="4"/>
        <v/>
      </c>
      <c r="U10" s="110" t="str">
        <f t="shared" si="4"/>
        <v/>
      </c>
      <c r="V10" s="110" t="str">
        <f t="shared" si="4"/>
        <v/>
      </c>
      <c r="W10" s="110" t="str">
        <f t="shared" si="4"/>
        <v/>
      </c>
      <c r="X10" s="110" t="str">
        <f t="shared" si="4"/>
        <v/>
      </c>
      <c r="Y10" s="110" t="str">
        <f t="shared" si="4"/>
        <v/>
      </c>
      <c r="Z10" s="110" t="str">
        <f t="shared" si="4"/>
        <v/>
      </c>
      <c r="AA10" s="110" t="str">
        <f t="shared" si="4"/>
        <v/>
      </c>
      <c r="AB10" s="110" t="str">
        <f t="shared" si="4"/>
        <v/>
      </c>
      <c r="AC10" s="110" t="str">
        <f t="shared" si="4"/>
        <v/>
      </c>
      <c r="AD10" s="110" t="str">
        <f t="shared" si="4"/>
        <v/>
      </c>
      <c r="AE10" s="110" t="str">
        <f t="shared" si="4"/>
        <v/>
      </c>
      <c r="AF10" s="110" t="str">
        <f t="shared" si="4"/>
        <v/>
      </c>
      <c r="AG10" s="110" t="str">
        <f t="shared" si="4"/>
        <v/>
      </c>
      <c r="AH10" s="110" t="str">
        <f t="shared" si="4"/>
        <v/>
      </c>
      <c r="AI10" s="110" t="str">
        <f t="shared" si="4"/>
        <v/>
      </c>
      <c r="AJ10" s="110" t="str">
        <f t="shared" si="4"/>
        <v/>
      </c>
      <c r="AK10" s="110" t="str">
        <f t="shared" si="4"/>
        <v/>
      </c>
      <c r="AL10" s="110" t="str">
        <f t="shared" si="4"/>
        <v/>
      </c>
      <c r="AM10" s="110" t="str">
        <f t="shared" si="4"/>
        <v/>
      </c>
      <c r="AN10" s="110" t="str">
        <f t="shared" si="4"/>
        <v/>
      </c>
      <c r="AO10" s="110" t="str">
        <f t="shared" si="4"/>
        <v/>
      </c>
      <c r="AP10" s="110" t="str">
        <f t="shared" si="4"/>
        <v/>
      </c>
      <c r="AQ10" s="110" t="str">
        <f t="shared" si="4"/>
        <v/>
      </c>
      <c r="AR10" s="110" t="str">
        <f t="shared" si="4"/>
        <v/>
      </c>
      <c r="AS10" s="110" t="str">
        <f t="shared" si="4"/>
        <v/>
      </c>
      <c r="AT10" s="110" t="str">
        <f t="shared" si="4"/>
        <v/>
      </c>
      <c r="AU10" s="110" t="str">
        <f t="shared" si="4"/>
        <v/>
      </c>
      <c r="AV10" s="110" t="str">
        <f t="shared" si="4"/>
        <v/>
      </c>
      <c r="AW10" s="103"/>
    </row>
    <row r="11">
      <c r="A11" s="113" t="s">
        <v>59</v>
      </c>
      <c r="B11" s="92"/>
      <c r="C11" s="92"/>
      <c r="D11" s="110" t="str">
        <f t="shared" ref="D11:AV11" si="5">if(N(D7)&gt;0,D7/12,)</f>
        <v/>
      </c>
      <c r="E11" s="110" t="str">
        <f t="shared" si="5"/>
        <v/>
      </c>
      <c r="F11" s="110" t="str">
        <f t="shared" si="5"/>
        <v/>
      </c>
      <c r="G11" s="110" t="str">
        <f t="shared" si="5"/>
        <v/>
      </c>
      <c r="H11" s="110" t="str">
        <f t="shared" si="5"/>
        <v/>
      </c>
      <c r="I11" s="110" t="str">
        <f t="shared" si="5"/>
        <v/>
      </c>
      <c r="J11" s="110" t="str">
        <f t="shared" si="5"/>
        <v/>
      </c>
      <c r="K11" s="110" t="str">
        <f t="shared" si="5"/>
        <v/>
      </c>
      <c r="L11" s="110" t="str">
        <f t="shared" si="5"/>
        <v/>
      </c>
      <c r="M11" s="110" t="str">
        <f t="shared" si="5"/>
        <v/>
      </c>
      <c r="N11" s="110" t="str">
        <f t="shared" si="5"/>
        <v/>
      </c>
      <c r="O11" s="110" t="str">
        <f t="shared" si="5"/>
        <v/>
      </c>
      <c r="P11" s="110" t="str">
        <f t="shared" si="5"/>
        <v/>
      </c>
      <c r="Q11" s="110" t="str">
        <f t="shared" si="5"/>
        <v/>
      </c>
      <c r="R11" s="110" t="str">
        <f t="shared" si="5"/>
        <v/>
      </c>
      <c r="S11" s="110" t="str">
        <f t="shared" si="5"/>
        <v/>
      </c>
      <c r="T11" s="110" t="str">
        <f t="shared" si="5"/>
        <v/>
      </c>
      <c r="U11" s="110" t="str">
        <f t="shared" si="5"/>
        <v/>
      </c>
      <c r="V11" s="110" t="str">
        <f t="shared" si="5"/>
        <v/>
      </c>
      <c r="W11" s="110" t="str">
        <f t="shared" si="5"/>
        <v/>
      </c>
      <c r="X11" s="110" t="str">
        <f t="shared" si="5"/>
        <v/>
      </c>
      <c r="Y11" s="110" t="str">
        <f t="shared" si="5"/>
        <v/>
      </c>
      <c r="Z11" s="110" t="str">
        <f t="shared" si="5"/>
        <v/>
      </c>
      <c r="AA11" s="110" t="str">
        <f t="shared" si="5"/>
        <v/>
      </c>
      <c r="AB11" s="110" t="str">
        <f t="shared" si="5"/>
        <v/>
      </c>
      <c r="AC11" s="110" t="str">
        <f t="shared" si="5"/>
        <v/>
      </c>
      <c r="AD11" s="110" t="str">
        <f t="shared" si="5"/>
        <v/>
      </c>
      <c r="AE11" s="110" t="str">
        <f t="shared" si="5"/>
        <v/>
      </c>
      <c r="AF11" s="110" t="str">
        <f t="shared" si="5"/>
        <v/>
      </c>
      <c r="AG11" s="110" t="str">
        <f t="shared" si="5"/>
        <v/>
      </c>
      <c r="AH11" s="110" t="str">
        <f t="shared" si="5"/>
        <v/>
      </c>
      <c r="AI11" s="110" t="str">
        <f t="shared" si="5"/>
        <v/>
      </c>
      <c r="AJ11" s="110" t="str">
        <f t="shared" si="5"/>
        <v/>
      </c>
      <c r="AK11" s="110" t="str">
        <f t="shared" si="5"/>
        <v/>
      </c>
      <c r="AL11" s="110" t="str">
        <f t="shared" si="5"/>
        <v/>
      </c>
      <c r="AM11" s="110" t="str">
        <f t="shared" si="5"/>
        <v/>
      </c>
      <c r="AN11" s="110" t="str">
        <f t="shared" si="5"/>
        <v/>
      </c>
      <c r="AO11" s="110" t="str">
        <f t="shared" si="5"/>
        <v/>
      </c>
      <c r="AP11" s="110" t="str">
        <f t="shared" si="5"/>
        <v/>
      </c>
      <c r="AQ11" s="110" t="str">
        <f t="shared" si="5"/>
        <v/>
      </c>
      <c r="AR11" s="110" t="str">
        <f t="shared" si="5"/>
        <v/>
      </c>
      <c r="AS11" s="110" t="str">
        <f t="shared" si="5"/>
        <v/>
      </c>
      <c r="AT11" s="110" t="str">
        <f t="shared" si="5"/>
        <v/>
      </c>
      <c r="AU11" s="110" t="str">
        <f t="shared" si="5"/>
        <v/>
      </c>
      <c r="AV11" s="110" t="str">
        <f t="shared" si="5"/>
        <v/>
      </c>
      <c r="AW11" s="103"/>
    </row>
    <row r="12">
      <c r="A12" s="111" t="s">
        <v>90</v>
      </c>
      <c r="B12" s="92"/>
      <c r="C12" s="92"/>
      <c r="D12" s="112" t="str">
        <f>IF(OR(D5=1,D5=2,D5=5,D5=6), Income!$M$14+Income!$M$15,)</f>
        <v/>
      </c>
      <c r="E12" s="112" t="str">
        <f>IF(OR(E5=1,E5=2,E5=5,E5=6), Income!$M$14+Income!$M$15,)</f>
        <v/>
      </c>
      <c r="F12" s="112">
        <f>IF(OR(F5=1,F5=2,F5=5,F5=6), Income!$M$14+Income!$M$15,)</f>
        <v>7086.61</v>
      </c>
      <c r="G12" s="112">
        <f>IF(OR(G5=1,G5=2,G5=5,G5=6), Income!$M$14+Income!$M$15,)</f>
        <v>7086.61</v>
      </c>
      <c r="H12" s="112">
        <f>IF(OR(H5=1,H5=2,H5=5,H5=6), Income!$M$14+Income!$M$15,)</f>
        <v>7086.61</v>
      </c>
      <c r="I12" s="112">
        <f>IF(OR(I5=1,I5=2,I5=5,I5=6), Income!$M$14+Income!$M$15,)</f>
        <v>7086.61</v>
      </c>
      <c r="J12" s="112">
        <f>IF(OR(J5=1,J5=2,J5=5,J5=6), Income!$M$14+Income!$M$15,)</f>
        <v>7086.61</v>
      </c>
      <c r="K12" s="112">
        <f>IF(OR(K5=1,K5=2,K5=5,K5=6), Income!$M$14+Income!$M$15,)</f>
        <v>7086.61</v>
      </c>
      <c r="L12" s="112">
        <f>IF(OR(L5=1,L5=2,L5=5,L5=6), Income!$M$14+Income!$M$15,)</f>
        <v>7086.61</v>
      </c>
      <c r="M12" s="112">
        <f>IF(OR(M5=1,M5=2,M5=5,M5=6), Income!$M$14+Income!$M$15,)</f>
        <v>7086.61</v>
      </c>
      <c r="N12" s="112">
        <f>IF(OR(N5=1,N5=2,N5=5,N5=6), Income!$M$14+Income!$M$15,)</f>
        <v>7086.61</v>
      </c>
      <c r="O12" s="112">
        <f>IF(OR(O5=1,O5=2,O5=5,O5=6), Income!$M$14+Income!$M$15,)</f>
        <v>7086.61</v>
      </c>
      <c r="P12" s="112">
        <f>IF(OR(P5=1,P5=2,P5=5,P5=6), Income!$M$14+Income!$M$15,)</f>
        <v>7086.61</v>
      </c>
      <c r="Q12" s="112">
        <f>IF(OR(Q5=1,Q5=2,Q5=5,Q5=6), Income!$M$14+Income!$M$15,)</f>
        <v>7086.61</v>
      </c>
      <c r="R12" s="112">
        <f>IF(OR(R5=1,R5=2,R5=5,R5=6), Income!$M$14+Income!$M$15,)</f>
        <v>7086.61</v>
      </c>
      <c r="S12" s="112">
        <f>IF(OR(S5=1,S5=2,S5=5,S5=6), Income!$M$14+Income!$M$15,)</f>
        <v>7086.61</v>
      </c>
      <c r="T12" s="112">
        <f>IF(OR(T5=1,T5=2,T5=5,T5=6), Income!$M$14+Income!$M$15,)</f>
        <v>7086.61</v>
      </c>
      <c r="U12" s="112">
        <f>IF(OR(U5=1,U5=2,U5=5,U5=6), Income!$M$14+Income!$M$15,)</f>
        <v>7086.61</v>
      </c>
      <c r="V12" s="112">
        <f>IF(OR(V5=1,V5=2,V5=5,V5=6), Income!$M$14+Income!$M$15,)</f>
        <v>7086.61</v>
      </c>
      <c r="W12" s="112">
        <f>IF(OR(W5=1,W5=2,W5=5,W5=6), Income!$M$14+Income!$M$15,)</f>
        <v>7086.61</v>
      </c>
      <c r="X12" s="112">
        <f>IF(OR(X5=1,X5=2,X5=5,X5=6), Income!$M$14+Income!$M$15,)</f>
        <v>7086.61</v>
      </c>
      <c r="Y12" s="112">
        <f>IF(OR(Y5=1,Y5=2,Y5=5,Y5=6), Income!$M$14+Income!$M$15,)</f>
        <v>7086.61</v>
      </c>
      <c r="Z12" s="112">
        <f>IF(OR(Z5=1,Z5=2,Z5=5,Z5=6), Income!$M$14+Income!$M$15,)</f>
        <v>7086.61</v>
      </c>
      <c r="AA12" s="112">
        <f>IF(OR(AA5=1,AA5=2,AA5=5,AA5=6), Income!$M$14+Income!$M$15,)</f>
        <v>7086.61</v>
      </c>
      <c r="AB12" s="112">
        <f>IF(OR(AB5=1,AB5=2,AB5=5,AB5=6), Income!$M$14+Income!$M$15,)</f>
        <v>7086.61</v>
      </c>
      <c r="AC12" s="112">
        <f>IF(OR(AC5=1,AC5=2,AC5=5,AC5=6), Income!$M$14+Income!$M$15,)</f>
        <v>7086.61</v>
      </c>
      <c r="AD12" s="112">
        <f>IF(OR(AD5=1,AD5=2,AD5=5,AD5=6), Income!$M$14+Income!$M$15,)</f>
        <v>7086.61</v>
      </c>
      <c r="AE12" s="112">
        <f>IF(OR(AE5=1,AE5=2,AE5=5,AE5=6), Income!$M$14+Income!$M$15,)</f>
        <v>7086.61</v>
      </c>
      <c r="AF12" s="112">
        <f>IF(OR(AF5=1,AF5=2,AF5=5,AF5=6), Income!$M$14+Income!$M$15,)</f>
        <v>7086.61</v>
      </c>
      <c r="AG12" s="112">
        <f>IF(OR(AG5=1,AG5=2,AG5=5,AG5=6), Income!$M$14+Income!$M$15,)</f>
        <v>7086.61</v>
      </c>
      <c r="AH12" s="112">
        <f>IF(OR(AH5=1,AH5=2,AH5=5,AH5=6), Income!$M$14+Income!$M$15,)</f>
        <v>7086.61</v>
      </c>
      <c r="AI12" s="112">
        <f>IF(OR(AI5=1,AI5=2,AI5=5,AI5=6), Income!$M$14+Income!$M$15,)</f>
        <v>7086.61</v>
      </c>
      <c r="AJ12" s="112">
        <f>IF(OR(AJ5=1,AJ5=2,AJ5=5,AJ5=6), Income!$M$14+Income!$M$15,)</f>
        <v>7086.61</v>
      </c>
      <c r="AK12" s="112">
        <f>IF(OR(AK5=1,AK5=2,AK5=5,AK5=6), Income!$M$14+Income!$M$15,)</f>
        <v>7086.61</v>
      </c>
      <c r="AL12" s="112" t="str">
        <f>IF(OR(AL5=1,AL5=2,AL5=5,AL5=6), Income!$M$14+Income!$M$15,)</f>
        <v/>
      </c>
      <c r="AM12" s="112" t="str">
        <f>IF(OR(AM5=1,AM5=2,AM5=5,AM5=6), Income!$M$14+Income!$M$15,)</f>
        <v/>
      </c>
      <c r="AN12" s="112" t="str">
        <f>IF(OR(AN5=1,AN5=2,AN5=5,AN5=6), Income!$M$14+Income!$M$15,)</f>
        <v/>
      </c>
      <c r="AO12" s="112" t="str">
        <f>IF(OR(AO5=1,AO5=2,AO5=5,AO5=6), Income!$M$14+Income!$M$15,)</f>
        <v/>
      </c>
      <c r="AP12" s="112" t="str">
        <f>IF(OR(AP5=1,AP5=2,AP5=5,AP5=6), Income!$M$14+Income!$M$15,)</f>
        <v/>
      </c>
      <c r="AQ12" s="112" t="str">
        <f>IF(OR(AQ5=1,AQ5=2,AQ5=5,AQ5=6), Income!$M$14+Income!$M$15,)</f>
        <v/>
      </c>
      <c r="AR12" s="112" t="str">
        <f>IF(OR(AR5=1,AR5=2,AR5=5,AR5=6), Income!$M$14+Income!$M$15,)</f>
        <v/>
      </c>
      <c r="AS12" s="112" t="str">
        <f>IF(OR(AS5=1,AS5=2,AS5=5,AS5=6), Income!$M$14+Income!$M$15,)</f>
        <v/>
      </c>
      <c r="AT12" s="112" t="str">
        <f>IF(OR(AT5=1,AT5=2,AT5=5,AT5=6), Income!$M$14+Income!$M$15,)</f>
        <v/>
      </c>
      <c r="AU12" s="112" t="str">
        <f>IF(OR(AU5=1,AU5=2,AU5=5,AU5=6), Income!$M$14+Income!$M$15,)</f>
        <v/>
      </c>
      <c r="AV12" s="112" t="str">
        <f>IF(OR(AV5=1,AV5=2,AV5=5,AV5=6), Income!$M$14+Income!$M$15,)</f>
        <v/>
      </c>
      <c r="AW12" s="103"/>
    </row>
    <row r="13">
      <c r="A13" s="113" t="s">
        <v>61</v>
      </c>
      <c r="B13" s="92"/>
      <c r="C13" s="92"/>
      <c r="D13" s="112" t="str">
        <f t="shared" ref="D13:AV13" si="6">if(D12&gt;0,D12/12,)</f>
        <v/>
      </c>
      <c r="E13" s="112" t="str">
        <f t="shared" si="6"/>
        <v/>
      </c>
      <c r="F13" s="112">
        <f t="shared" si="6"/>
        <v>590.5508333</v>
      </c>
      <c r="G13" s="112">
        <f t="shared" si="6"/>
        <v>590.5508333</v>
      </c>
      <c r="H13" s="112">
        <f t="shared" si="6"/>
        <v>590.5508333</v>
      </c>
      <c r="I13" s="112">
        <f t="shared" si="6"/>
        <v>590.5508333</v>
      </c>
      <c r="J13" s="112">
        <f t="shared" si="6"/>
        <v>590.5508333</v>
      </c>
      <c r="K13" s="112">
        <f t="shared" si="6"/>
        <v>590.5508333</v>
      </c>
      <c r="L13" s="112">
        <f t="shared" si="6"/>
        <v>590.5508333</v>
      </c>
      <c r="M13" s="112">
        <f t="shared" si="6"/>
        <v>590.5508333</v>
      </c>
      <c r="N13" s="112">
        <f t="shared" si="6"/>
        <v>590.5508333</v>
      </c>
      <c r="O13" s="112">
        <f t="shared" si="6"/>
        <v>590.5508333</v>
      </c>
      <c r="P13" s="112">
        <f t="shared" si="6"/>
        <v>590.5508333</v>
      </c>
      <c r="Q13" s="112">
        <f t="shared" si="6"/>
        <v>590.5508333</v>
      </c>
      <c r="R13" s="112">
        <f t="shared" si="6"/>
        <v>590.5508333</v>
      </c>
      <c r="S13" s="112">
        <f t="shared" si="6"/>
        <v>590.5508333</v>
      </c>
      <c r="T13" s="112">
        <f t="shared" si="6"/>
        <v>590.5508333</v>
      </c>
      <c r="U13" s="112">
        <f t="shared" si="6"/>
        <v>590.5508333</v>
      </c>
      <c r="V13" s="112">
        <f t="shared" si="6"/>
        <v>590.5508333</v>
      </c>
      <c r="W13" s="112">
        <f t="shared" si="6"/>
        <v>590.5508333</v>
      </c>
      <c r="X13" s="112">
        <f t="shared" si="6"/>
        <v>590.5508333</v>
      </c>
      <c r="Y13" s="112">
        <f t="shared" si="6"/>
        <v>590.5508333</v>
      </c>
      <c r="Z13" s="112">
        <f t="shared" si="6"/>
        <v>590.5508333</v>
      </c>
      <c r="AA13" s="112">
        <f t="shared" si="6"/>
        <v>590.5508333</v>
      </c>
      <c r="AB13" s="112">
        <f t="shared" si="6"/>
        <v>590.5508333</v>
      </c>
      <c r="AC13" s="112">
        <f t="shared" si="6"/>
        <v>590.5508333</v>
      </c>
      <c r="AD13" s="112">
        <f t="shared" si="6"/>
        <v>590.5508333</v>
      </c>
      <c r="AE13" s="112">
        <f t="shared" si="6"/>
        <v>590.5508333</v>
      </c>
      <c r="AF13" s="112">
        <f t="shared" si="6"/>
        <v>590.5508333</v>
      </c>
      <c r="AG13" s="112">
        <f t="shared" si="6"/>
        <v>590.5508333</v>
      </c>
      <c r="AH13" s="112">
        <f t="shared" si="6"/>
        <v>590.5508333</v>
      </c>
      <c r="AI13" s="112">
        <f t="shared" si="6"/>
        <v>590.5508333</v>
      </c>
      <c r="AJ13" s="112">
        <f t="shared" si="6"/>
        <v>590.5508333</v>
      </c>
      <c r="AK13" s="112">
        <f t="shared" si="6"/>
        <v>590.5508333</v>
      </c>
      <c r="AL13" s="112" t="str">
        <f t="shared" si="6"/>
        <v/>
      </c>
      <c r="AM13" s="112" t="str">
        <f t="shared" si="6"/>
        <v/>
      </c>
      <c r="AN13" s="112" t="str">
        <f t="shared" si="6"/>
        <v/>
      </c>
      <c r="AO13" s="112" t="str">
        <f t="shared" si="6"/>
        <v/>
      </c>
      <c r="AP13" s="112" t="str">
        <f t="shared" si="6"/>
        <v/>
      </c>
      <c r="AQ13" s="112" t="str">
        <f t="shared" si="6"/>
        <v/>
      </c>
      <c r="AR13" s="112" t="str">
        <f t="shared" si="6"/>
        <v/>
      </c>
      <c r="AS13" s="112" t="str">
        <f t="shared" si="6"/>
        <v/>
      </c>
      <c r="AT13" s="112" t="str">
        <f t="shared" si="6"/>
        <v/>
      </c>
      <c r="AU13" s="112" t="str">
        <f t="shared" si="6"/>
        <v/>
      </c>
      <c r="AV13" s="112" t="str">
        <f t="shared" si="6"/>
        <v/>
      </c>
      <c r="AW13" s="103"/>
    </row>
    <row r="14">
      <c r="A14" s="111" t="s">
        <v>62</v>
      </c>
      <c r="B14" s="92"/>
      <c r="C14" s="92"/>
      <c r="D14" s="112" t="str">
        <f>if(D5=0,,
if(OR(D5=1, D5=5),Income!$K$18,
if(OR(D5=2,D5=6),C14*(1+Income!$L$18),
if(D5=3,,))))</f>
        <v/>
      </c>
      <c r="E14" s="112" t="str">
        <f>if(E5=0,,
if(OR(E5=1, E5=5),Income!$K$18,
if(OR(E5=2,E5=6),D14*(1+Income!$L$18),
if(E5=3,,))))</f>
        <v/>
      </c>
      <c r="F14" s="112">
        <f>if(F5=0,,
if(OR(F5=1, F5=5),Income!$K$18,
if(OR(F5=2,F5=6),E14*(1+Income!$L$18),
if(F5=3,,))))</f>
        <v>0</v>
      </c>
      <c r="G14" s="112">
        <f>if(G5=0,,
if(OR(G5=1, G5=5),Income!$K$18,
if(OR(G5=2,G5=6),F14*(1+Income!$L$18),
if(G5=3,,))))</f>
        <v>0</v>
      </c>
      <c r="H14" s="112">
        <f>if(H5=0,,
if(OR(H5=1, H5=5),Income!$K$18,
if(OR(H5=2,H5=6),G14*(1+Income!$L$18),
if(H5=3,,))))</f>
        <v>0</v>
      </c>
      <c r="I14" s="112">
        <f>if(I5=0,,
if(OR(I5=1, I5=5),Income!$K$18,
if(OR(I5=2,I5=6),H14*(1+Income!$L$18),
if(I5=3,,))))</f>
        <v>0</v>
      </c>
      <c r="J14" s="112">
        <f>if(J5=0,,
if(OR(J5=1, J5=5),Income!$K$18,
if(OR(J5=2,J5=6),I14*(1+Income!$L$18),
if(J5=3,,))))</f>
        <v>0</v>
      </c>
      <c r="K14" s="112">
        <f>if(K5=0,,
if(OR(K5=1, K5=5),Income!$K$18,
if(OR(K5=2,K5=6),J14*(1+Income!$L$18),
if(K5=3,,))))</f>
        <v>0</v>
      </c>
      <c r="L14" s="112">
        <f>if(L5=0,,
if(OR(L5=1, L5=5),Income!$K$18,
if(OR(L5=2,L5=6),K14*(1+Income!$L$18),
if(L5=3,,))))</f>
        <v>0</v>
      </c>
      <c r="M14" s="112">
        <f>if(M5=0,,
if(OR(M5=1, M5=5),Income!$K$18,
if(OR(M5=2,M5=6),L14*(1+Income!$L$18),
if(M5=3,,))))</f>
        <v>0</v>
      </c>
      <c r="N14" s="112">
        <f>if(N5=0,,
if(OR(N5=1, N5=5),Income!$K$18,
if(OR(N5=2,N5=6),M14*(1+Income!$L$18),
if(N5=3,,))))</f>
        <v>0</v>
      </c>
      <c r="O14" s="112">
        <f>if(O5=0,,
if(OR(O5=1, O5=5),Income!$K$18,
if(OR(O5=2,O5=6),N14*(1+Income!$L$18),
if(O5=3,,))))</f>
        <v>0</v>
      </c>
      <c r="P14" s="112">
        <f>if(P5=0,,
if(OR(P5=1, P5=5),Income!$K$18,
if(OR(P5=2,P5=6),O14*(1+Income!$L$18),
if(P5=3,,))))</f>
        <v>0</v>
      </c>
      <c r="Q14" s="112">
        <f>if(Q5=0,,
if(OR(Q5=1, Q5=5),Income!$K$18,
if(OR(Q5=2,Q5=6),P14*(1+Income!$L$18),
if(Q5=3,,))))</f>
        <v>0</v>
      </c>
      <c r="R14" s="112">
        <f>if(R5=0,,
if(OR(R5=1, R5=5),Income!$K$18,
if(OR(R5=2,R5=6),Q14*(1+Income!$L$18),
if(R5=3,,))))</f>
        <v>0</v>
      </c>
      <c r="S14" s="112">
        <f>if(S5=0,,
if(OR(S5=1, S5=5),Income!$K$18,
if(OR(S5=2,S5=6),R14*(1+Income!$L$18),
if(S5=3,,))))</f>
        <v>0</v>
      </c>
      <c r="T14" s="112">
        <f>if(T5=0,,
if(OR(T5=1, T5=5),Income!$K$18,
if(OR(T5=2,T5=6),S14*(1+Income!$L$18),
if(T5=3,,))))</f>
        <v>0</v>
      </c>
      <c r="U14" s="112">
        <f>if(U5=0,,
if(OR(U5=1, U5=5),Income!$K$18,
if(OR(U5=2,U5=6),T14*(1+Income!$L$18),
if(U5=3,,))))</f>
        <v>0</v>
      </c>
      <c r="V14" s="112">
        <f>if(V5=0,,
if(OR(V5=1, V5=5),Income!$K$18,
if(OR(V5=2,V5=6),U14*(1+Income!$L$18),
if(V5=3,,))))</f>
        <v>0</v>
      </c>
      <c r="W14" s="112">
        <f>if(W5=0,,
if(OR(W5=1, W5=5),Income!$K$18,
if(OR(W5=2,W5=6),V14*(1+Income!$L$18),
if(W5=3,,))))</f>
        <v>0</v>
      </c>
      <c r="X14" s="112">
        <f>if(X5=0,,
if(OR(X5=1, X5=5),Income!$K$18,
if(OR(X5=2,X5=6),W14*(1+Income!$L$18),
if(X5=3,,))))</f>
        <v>0</v>
      </c>
      <c r="Y14" s="112">
        <f>if(Y5=0,,
if(OR(Y5=1, Y5=5),Income!$K$18,
if(OR(Y5=2,Y5=6),X14*(1+Income!$L$18),
if(Y5=3,,))))</f>
        <v>0</v>
      </c>
      <c r="Z14" s="112">
        <f>if(Z5=0,,
if(OR(Z5=1, Z5=5),Income!$K$18,
if(OR(Z5=2,Z5=6),Y14*(1+Income!$L$18),
if(Z5=3,,))))</f>
        <v>0</v>
      </c>
      <c r="AA14" s="112">
        <f>if(AA5=0,,
if(OR(AA5=1, AA5=5),Income!$K$18,
if(OR(AA5=2,AA5=6),Z14*(1+Income!$L$18),
if(AA5=3,,))))</f>
        <v>0</v>
      </c>
      <c r="AB14" s="112">
        <f>if(AB5=0,,
if(OR(AB5=1, AB5=5),Income!$K$18,
if(OR(AB5=2,AB5=6),AA14*(1+Income!$L$18),
if(AB5=3,,))))</f>
        <v>0</v>
      </c>
      <c r="AC14" s="112">
        <f>if(AC5=0,,
if(OR(AC5=1, AC5=5),Income!$K$18,
if(OR(AC5=2,AC5=6),AB14*(1+Income!$L$18),
if(AC5=3,,))))</f>
        <v>0</v>
      </c>
      <c r="AD14" s="112">
        <f>if(AD5=0,,
if(OR(AD5=1, AD5=5),Income!$K$18,
if(OR(AD5=2,AD5=6),AC14*(1+Income!$L$18),
if(AD5=3,,))))</f>
        <v>0</v>
      </c>
      <c r="AE14" s="112">
        <f>if(AE5=0,,
if(OR(AE5=1, AE5=5),Income!$K$18,
if(OR(AE5=2,AE5=6),AD14*(1+Income!$L$18),
if(AE5=3,,))))</f>
        <v>0</v>
      </c>
      <c r="AF14" s="112">
        <f>if(AF5=0,,
if(OR(AF5=1, AF5=5),Income!$K$18,
if(OR(AF5=2,AF5=6),AE14*(1+Income!$L$18),
if(AF5=3,,))))</f>
        <v>0</v>
      </c>
      <c r="AG14" s="112">
        <f>if(AG5=0,,
if(OR(AG5=1, AG5=5),Income!$K$18,
if(OR(AG5=2,AG5=6),AF14*(1+Income!$L$18),
if(AG5=3,,))))</f>
        <v>0</v>
      </c>
      <c r="AH14" s="112">
        <f>if(AH5=0,,
if(OR(AH5=1, AH5=5),Income!$K$18,
if(OR(AH5=2,AH5=6),AG14*(1+Income!$L$18),
if(AH5=3,,))))</f>
        <v>0</v>
      </c>
      <c r="AI14" s="112">
        <f>if(AI5=0,,
if(OR(AI5=1, AI5=5),Income!$K$18,
if(OR(AI5=2,AI5=6),AH14*(1+Income!$L$18),
if(AI5=3,,))))</f>
        <v>0</v>
      </c>
      <c r="AJ14" s="112">
        <f>if(AJ5=0,,
if(OR(AJ5=1, AJ5=5),Income!$K$18,
if(OR(AJ5=2,AJ5=6),AI14*(1+Income!$L$18),
if(AJ5=3,,))))</f>
        <v>0</v>
      </c>
      <c r="AK14" s="112">
        <f>if(AK5=0,,
if(OR(AK5=1, AK5=5),Income!$K$18,
if(OR(AK5=2,AK5=6),AJ14*(1+Income!$L$18),
if(AK5=3,,))))</f>
        <v>0</v>
      </c>
      <c r="AL14" s="112" t="str">
        <f>if(AL5=0,,
if(OR(AL5=1, AL5=5),Income!$K$18,
if(OR(AL5=2,AL5=6),AK14*(1+Income!$L$18),
if(AL5=3,,))))</f>
        <v/>
      </c>
      <c r="AM14" s="112" t="str">
        <f>if(AM5=0,,
if(OR(AM5=1, AM5=5),Income!$K$18,
if(OR(AM5=2,AM5=6),AL14*(1+Income!$L$18),
if(AM5=3,,))))</f>
        <v/>
      </c>
      <c r="AN14" s="112" t="str">
        <f>if(AN5=0,,
if(OR(AN5=1, AN5=5),Income!$K$18,
if(OR(AN5=2,AN5=6),AM14*(1+Income!$L$18),
if(AN5=3,,))))</f>
        <v/>
      </c>
      <c r="AO14" s="112" t="str">
        <f>if(AO5=0,,
if(OR(AO5=1, AO5=5),Income!$K$18,
if(OR(AO5=2,AO5=6),AN14*(1+Income!$L$18),
if(AO5=3,,))))</f>
        <v/>
      </c>
      <c r="AP14" s="112" t="str">
        <f>if(AP5=0,,
if(OR(AP5=1, AP5=5),Income!$K$18,
if(OR(AP5=2,AP5=6),AO14*(1+Income!$L$18),
if(AP5=3,,))))</f>
        <v/>
      </c>
      <c r="AQ14" s="112" t="str">
        <f>if(AQ5=0,,
if(OR(AQ5=1, AQ5=5),Income!$K$18,
if(OR(AQ5=2,AQ5=6),AP14*(1+Income!$L$18),
if(AQ5=3,,))))</f>
        <v/>
      </c>
      <c r="AR14" s="112" t="str">
        <f>if(AR5=0,,
if(OR(AR5=1, AR5=5),Income!$K$18,
if(OR(AR5=2,AR5=6),AQ14*(1+Income!$L$18),
if(AR5=3,,))))</f>
        <v/>
      </c>
      <c r="AS14" s="112" t="str">
        <f>if(AS5=0,,
if(OR(AS5=1, AS5=5),Income!$K$18,
if(OR(AS5=2,AS5=6),AR14*(1+Income!$L$18),
if(AS5=3,,))))</f>
        <v/>
      </c>
      <c r="AT14" s="112" t="str">
        <f>if(AT5=0,,
if(OR(AT5=1, AT5=5),Income!$K$18,
if(OR(AT5=2,AT5=6),AS14*(1+Income!$L$18),
if(AT5=3,,))))</f>
        <v/>
      </c>
      <c r="AU14" s="112" t="str">
        <f>if(AU5=0,,
if(OR(AU5=1, AU5=5),Income!$K$18,
if(OR(AU5=2,AU5=6),AT14*(1+Income!$L$18),
if(AU5=3,,))))</f>
        <v/>
      </c>
      <c r="AV14" s="112" t="str">
        <f>if(AV5=0,,
if(OR(AV5=1, AV5=5),Income!$K$18,
if(OR(AV5=2,AV5=6),AU14*(1+Income!$L$18),
if(AV5=3,,))))</f>
        <v/>
      </c>
      <c r="AW14" s="103"/>
    </row>
    <row r="15">
      <c r="A15" s="113" t="s">
        <v>63</v>
      </c>
      <c r="B15" s="92"/>
      <c r="C15" s="92"/>
      <c r="D15" s="110" t="str">
        <f t="shared" ref="D15:AV15" si="7">if(D14&gt;0,D14/12,)</f>
        <v/>
      </c>
      <c r="E15" s="110" t="str">
        <f t="shared" si="7"/>
        <v/>
      </c>
      <c r="F15" s="110" t="str">
        <f t="shared" si="7"/>
        <v/>
      </c>
      <c r="G15" s="110" t="str">
        <f t="shared" si="7"/>
        <v/>
      </c>
      <c r="H15" s="110" t="str">
        <f t="shared" si="7"/>
        <v/>
      </c>
      <c r="I15" s="110" t="str">
        <f t="shared" si="7"/>
        <v/>
      </c>
      <c r="J15" s="110" t="str">
        <f t="shared" si="7"/>
        <v/>
      </c>
      <c r="K15" s="110" t="str">
        <f t="shared" si="7"/>
        <v/>
      </c>
      <c r="L15" s="110" t="str">
        <f t="shared" si="7"/>
        <v/>
      </c>
      <c r="M15" s="110" t="str">
        <f t="shared" si="7"/>
        <v/>
      </c>
      <c r="N15" s="110" t="str">
        <f t="shared" si="7"/>
        <v/>
      </c>
      <c r="O15" s="110" t="str">
        <f t="shared" si="7"/>
        <v/>
      </c>
      <c r="P15" s="110" t="str">
        <f t="shared" si="7"/>
        <v/>
      </c>
      <c r="Q15" s="110" t="str">
        <f t="shared" si="7"/>
        <v/>
      </c>
      <c r="R15" s="110" t="str">
        <f t="shared" si="7"/>
        <v/>
      </c>
      <c r="S15" s="110" t="str">
        <f t="shared" si="7"/>
        <v/>
      </c>
      <c r="T15" s="110" t="str">
        <f t="shared" si="7"/>
        <v/>
      </c>
      <c r="U15" s="110" t="str">
        <f t="shared" si="7"/>
        <v/>
      </c>
      <c r="V15" s="110" t="str">
        <f t="shared" si="7"/>
        <v/>
      </c>
      <c r="W15" s="110" t="str">
        <f t="shared" si="7"/>
        <v/>
      </c>
      <c r="X15" s="110" t="str">
        <f t="shared" si="7"/>
        <v/>
      </c>
      <c r="Y15" s="110" t="str">
        <f t="shared" si="7"/>
        <v/>
      </c>
      <c r="Z15" s="110" t="str">
        <f t="shared" si="7"/>
        <v/>
      </c>
      <c r="AA15" s="110" t="str">
        <f t="shared" si="7"/>
        <v/>
      </c>
      <c r="AB15" s="110" t="str">
        <f t="shared" si="7"/>
        <v/>
      </c>
      <c r="AC15" s="110" t="str">
        <f t="shared" si="7"/>
        <v/>
      </c>
      <c r="AD15" s="110" t="str">
        <f t="shared" si="7"/>
        <v/>
      </c>
      <c r="AE15" s="110" t="str">
        <f t="shared" si="7"/>
        <v/>
      </c>
      <c r="AF15" s="110" t="str">
        <f t="shared" si="7"/>
        <v/>
      </c>
      <c r="AG15" s="110" t="str">
        <f t="shared" si="7"/>
        <v/>
      </c>
      <c r="AH15" s="110" t="str">
        <f t="shared" si="7"/>
        <v/>
      </c>
      <c r="AI15" s="110" t="str">
        <f t="shared" si="7"/>
        <v/>
      </c>
      <c r="AJ15" s="110" t="str">
        <f t="shared" si="7"/>
        <v/>
      </c>
      <c r="AK15" s="110" t="str">
        <f t="shared" si="7"/>
        <v/>
      </c>
      <c r="AL15" s="110" t="str">
        <f t="shared" si="7"/>
        <v/>
      </c>
      <c r="AM15" s="110" t="str">
        <f t="shared" si="7"/>
        <v/>
      </c>
      <c r="AN15" s="110" t="str">
        <f t="shared" si="7"/>
        <v/>
      </c>
      <c r="AO15" s="110" t="str">
        <f t="shared" si="7"/>
        <v/>
      </c>
      <c r="AP15" s="110" t="str">
        <f t="shared" si="7"/>
        <v/>
      </c>
      <c r="AQ15" s="110" t="str">
        <f t="shared" si="7"/>
        <v/>
      </c>
      <c r="AR15" s="110" t="str">
        <f t="shared" si="7"/>
        <v/>
      </c>
      <c r="AS15" s="110" t="str">
        <f t="shared" si="7"/>
        <v/>
      </c>
      <c r="AT15" s="110" t="str">
        <f t="shared" si="7"/>
        <v/>
      </c>
      <c r="AU15" s="110" t="str">
        <f t="shared" si="7"/>
        <v/>
      </c>
      <c r="AV15" s="110" t="str">
        <f t="shared" si="7"/>
        <v/>
      </c>
      <c r="AW15" s="103"/>
    </row>
    <row r="16">
      <c r="A16" s="111" t="s">
        <v>64</v>
      </c>
      <c r="B16" s="92"/>
      <c r="C16" s="92"/>
      <c r="D16" s="92"/>
      <c r="E16" s="92"/>
      <c r="F16" s="92"/>
      <c r="G16" s="92"/>
      <c r="H16" s="92"/>
      <c r="I16" s="92"/>
      <c r="J16" s="92"/>
      <c r="K16" s="92"/>
      <c r="L16" s="92"/>
      <c r="M16" s="92"/>
      <c r="N16" s="92"/>
      <c r="O16" s="92"/>
      <c r="P16" s="112">
        <f>Income!$D$21</f>
        <v>17722.96482</v>
      </c>
      <c r="Q16" s="112">
        <f>IF(OR(Q5&lt;3,Q5=5,Q5=6),P16*(1+'Person 2 Calculator'!$F$19),)</f>
        <v>18431.88342</v>
      </c>
      <c r="R16" s="112">
        <f>IF(OR(R5&lt;3,R5=5,R5=6),Q16*(1+'Person 2 Calculator'!$F$19),)</f>
        <v>19169.15875</v>
      </c>
      <c r="S16" s="112">
        <f>IF(OR(S5&lt;3,S5=5,S5=6),R16*(1+'Person 2 Calculator'!$F$19),)</f>
        <v>19935.9251</v>
      </c>
      <c r="T16" s="112">
        <f>IF(OR(T5&lt;3,T5=5,T5=6),S16*(1+'Person 2 Calculator'!$F$19),)</f>
        <v>20733.36211</v>
      </c>
      <c r="U16" s="112">
        <f>IF(OR(U5&lt;3,U5=5,U5=6),T16*(1+'Person 2 Calculator'!$F$19),)</f>
        <v>21562.69659</v>
      </c>
      <c r="V16" s="112">
        <f>IF(OR(V5&lt;3,V5=5,V5=6),U16*(1+'Person 2 Calculator'!$F$19),)</f>
        <v>22425.20446</v>
      </c>
      <c r="W16" s="112">
        <f>IF(OR(W5&lt;3,W5=5,W5=6),V16*(1+'Person 2 Calculator'!$F$19),)</f>
        <v>23322.21263</v>
      </c>
      <c r="X16" s="112">
        <f>IF(OR(X5&lt;3,X5=5,X5=6),W16*(1+'Person 2 Calculator'!$F$19),)</f>
        <v>24255.10114</v>
      </c>
      <c r="Y16" s="112">
        <f>IF(OR(Y5&lt;3,Y5=5,Y5=6),X16*(1+'Person 2 Calculator'!$F$19),)</f>
        <v>25225.30518</v>
      </c>
      <c r="Z16" s="112">
        <f>IF(OR(Z5&lt;3,Z5=5,Z5=6),Y16*(1+'Person 2 Calculator'!$F$19),)</f>
        <v>26234.31739</v>
      </c>
      <c r="AA16" s="112">
        <f>IF(OR(AA5&lt;3,AA5=5,AA5=6),Z16*(1+'Person 2 Calculator'!$F$19),)</f>
        <v>27283.69009</v>
      </c>
      <c r="AB16" s="112">
        <f>IF(OR(AB5&lt;3,AB5=5,AB5=6),AA16*(1+'Person 2 Calculator'!$F$19),)</f>
        <v>28375.03769</v>
      </c>
      <c r="AC16" s="112">
        <f>IF(OR(AC5&lt;3,AC5=5,AC5=6),AB16*(1+'Person 2 Calculator'!$F$19),)</f>
        <v>29510.0392</v>
      </c>
      <c r="AD16" s="112">
        <f>IF(OR(AD5&lt;3,AD5=5,AD5=6),AC16*(1+'Person 2 Calculator'!$F$19),)</f>
        <v>30690.44077</v>
      </c>
      <c r="AE16" s="112">
        <f>IF(OR(AE5&lt;3,AE5=5,AE5=6),AD16*(1+'Person 2 Calculator'!$F$19),)</f>
        <v>31918.0584</v>
      </c>
      <c r="AF16" s="112">
        <f>IF(OR(AF5&lt;3,AF5=5,AF5=6),AE16*(1+'Person 2 Calculator'!$F$19),)</f>
        <v>33194.78073</v>
      </c>
      <c r="AG16" s="112">
        <f>IF(OR(AG5&lt;3,AG5=5,AG5=6),AF16*(1+'Person 2 Calculator'!$F$19),)</f>
        <v>34522.57196</v>
      </c>
      <c r="AH16" s="112">
        <f>IF(OR(AH5&lt;3,AH5=5,AH5=6),AG16*(1+'Person 2 Calculator'!$F$19),)</f>
        <v>35903.47484</v>
      </c>
      <c r="AI16" s="112">
        <f>IF(OR(AI5&lt;3,AI5=5,AI5=6),AH16*(1+'Person 2 Calculator'!$F$19),)</f>
        <v>37339.61383</v>
      </c>
      <c r="AJ16" s="112">
        <f>IF(OR(AJ5&lt;3,AJ5=5,AJ5=6),AI16*(1+'Person 2 Calculator'!$F$19),)</f>
        <v>38833.19839</v>
      </c>
      <c r="AK16" s="112">
        <f>IF(OR(AK5&lt;3,AK5=5,AK5=6),AJ16*(1+'Person 2 Calculator'!$F$19),)</f>
        <v>40386.52632</v>
      </c>
      <c r="AL16" s="112" t="str">
        <f>IF(OR(AL5&lt;3,AL5=5,AL5=6),AK16*(1+'Person 2 Calculator'!$F$19),)</f>
        <v/>
      </c>
      <c r="AM16" s="112" t="str">
        <f>IF(OR(AM5&lt;3,AM5=5,AM5=6),AL16*(1+'Person 2 Calculator'!$F$19),)</f>
        <v/>
      </c>
      <c r="AN16" s="112" t="str">
        <f>IF(OR(AN5&lt;3,AN5=5,AN5=6),AM16*(1+'Person 2 Calculator'!$F$19),)</f>
        <v/>
      </c>
      <c r="AO16" s="112" t="str">
        <f>IF(OR(AO5&lt;3,AO5=5,AO5=6),AN16*(1+'Person 2 Calculator'!$F$19),)</f>
        <v/>
      </c>
      <c r="AP16" s="112" t="str">
        <f>IF(OR(AP5&lt;3,AP5=5,AP5=6),AO16*(1+'Person 2 Calculator'!$F$19),)</f>
        <v/>
      </c>
      <c r="AQ16" s="112" t="str">
        <f>IF(OR(AQ5&lt;3,AQ5=5,AQ5=6),AP16*(1+'Person 2 Calculator'!$F$19),)</f>
        <v/>
      </c>
      <c r="AR16" s="112" t="str">
        <f>IF(OR(AR5&lt;3,AR5=5,AR5=6),AQ16*(1+'Person 2 Calculator'!$F$19),)</f>
        <v/>
      </c>
      <c r="AS16" s="112" t="str">
        <f>IF(OR(AS5&lt;3,AS5=5,AS5=6),AR16*(1+'Person 2 Calculator'!$F$19),)</f>
        <v/>
      </c>
      <c r="AT16" s="112" t="str">
        <f>IF(OR(AT5&lt;3,AT5=5,AT5=6),AS16*(1+'Person 2 Calculator'!$F$19),)</f>
        <v/>
      </c>
      <c r="AU16" s="112" t="str">
        <f>IF(OR(AU5&lt;3,AU5=5,AU5=6),AT16*(1+'Person 2 Calculator'!$F$19),)</f>
        <v/>
      </c>
      <c r="AV16" s="112" t="str">
        <f>IF(OR(AV5&lt;3,AV5=5,AV5=6),AU16*(1+'Person 2 Calculator'!$F$19),)</f>
        <v/>
      </c>
      <c r="AW16" s="103"/>
    </row>
    <row r="17">
      <c r="A17" s="113" t="s">
        <v>65</v>
      </c>
      <c r="B17" s="92"/>
      <c r="C17" s="92"/>
      <c r="D17" s="92"/>
      <c r="E17" s="92"/>
      <c r="F17" s="92"/>
      <c r="G17" s="92"/>
      <c r="H17" s="92"/>
      <c r="I17" s="92"/>
      <c r="J17" s="92"/>
      <c r="K17" s="92"/>
      <c r="L17" s="92"/>
      <c r="M17" s="96"/>
      <c r="N17" s="92"/>
      <c r="O17" s="92"/>
      <c r="P17" s="114">
        <f t="shared" ref="P17:AV17" si="8">if(P16&gt;0,P16/12,)</f>
        <v>1476.913735</v>
      </c>
      <c r="Q17" s="114">
        <f t="shared" si="8"/>
        <v>1535.990285</v>
      </c>
      <c r="R17" s="114">
        <f t="shared" si="8"/>
        <v>1597.429896</v>
      </c>
      <c r="S17" s="114">
        <f t="shared" si="8"/>
        <v>1661.327092</v>
      </c>
      <c r="T17" s="114">
        <f t="shared" si="8"/>
        <v>1727.780176</v>
      </c>
      <c r="U17" s="114">
        <f t="shared" si="8"/>
        <v>1796.891383</v>
      </c>
      <c r="V17" s="114">
        <f t="shared" si="8"/>
        <v>1868.767038</v>
      </c>
      <c r="W17" s="114">
        <f t="shared" si="8"/>
        <v>1943.517719</v>
      </c>
      <c r="X17" s="114">
        <f t="shared" si="8"/>
        <v>2021.258428</v>
      </c>
      <c r="Y17" s="114">
        <f t="shared" si="8"/>
        <v>2102.108765</v>
      </c>
      <c r="Z17" s="114">
        <f t="shared" si="8"/>
        <v>2186.193116</v>
      </c>
      <c r="AA17" s="114">
        <f t="shared" si="8"/>
        <v>2273.640841</v>
      </c>
      <c r="AB17" s="114">
        <f t="shared" si="8"/>
        <v>2364.586474</v>
      </c>
      <c r="AC17" s="114">
        <f t="shared" si="8"/>
        <v>2459.169933</v>
      </c>
      <c r="AD17" s="114">
        <f t="shared" si="8"/>
        <v>2557.536731</v>
      </c>
      <c r="AE17" s="114">
        <f t="shared" si="8"/>
        <v>2659.8382</v>
      </c>
      <c r="AF17" s="114">
        <f t="shared" si="8"/>
        <v>2766.231728</v>
      </c>
      <c r="AG17" s="114">
        <f t="shared" si="8"/>
        <v>2876.880997</v>
      </c>
      <c r="AH17" s="114">
        <f t="shared" si="8"/>
        <v>2991.956237</v>
      </c>
      <c r="AI17" s="114">
        <f t="shared" si="8"/>
        <v>3111.634486</v>
      </c>
      <c r="AJ17" s="114">
        <f t="shared" si="8"/>
        <v>3236.099866</v>
      </c>
      <c r="AK17" s="114">
        <f t="shared" si="8"/>
        <v>3365.54386</v>
      </c>
      <c r="AL17" s="114" t="str">
        <f t="shared" si="8"/>
        <v/>
      </c>
      <c r="AM17" s="114" t="str">
        <f t="shared" si="8"/>
        <v/>
      </c>
      <c r="AN17" s="114" t="str">
        <f t="shared" si="8"/>
        <v/>
      </c>
      <c r="AO17" s="114" t="str">
        <f t="shared" si="8"/>
        <v/>
      </c>
      <c r="AP17" s="114" t="str">
        <f t="shared" si="8"/>
        <v/>
      </c>
      <c r="AQ17" s="114" t="str">
        <f t="shared" si="8"/>
        <v/>
      </c>
      <c r="AR17" s="114" t="str">
        <f t="shared" si="8"/>
        <v/>
      </c>
      <c r="AS17" s="114" t="str">
        <f t="shared" si="8"/>
        <v/>
      </c>
      <c r="AT17" s="114" t="str">
        <f t="shared" si="8"/>
        <v/>
      </c>
      <c r="AU17" s="114" t="str">
        <f t="shared" si="8"/>
        <v/>
      </c>
      <c r="AV17" s="114" t="str">
        <f t="shared" si="8"/>
        <v/>
      </c>
      <c r="AW17" s="103"/>
    </row>
    <row r="18">
      <c r="A18" s="111" t="s">
        <v>66</v>
      </c>
      <c r="B18" s="92"/>
      <c r="C18" s="92"/>
      <c r="D18" s="112" t="str">
        <f>IFERROR(__xludf.DUMMYFUNCTION("IF(
  OR(D5=1, D5=2, D5=5,D5=6),
  SUM(
    FILTER(
      Income!$K$6:$K$8,
      D4 &gt;= Income!$M$6:$M$8
    )
  )
,)"),"")</f>
        <v/>
      </c>
      <c r="E18" s="112" t="str">
        <f>IFERROR(__xludf.DUMMYFUNCTION("IF(
  OR(E5=1, E5=2, E5=5,E5=6),
  SUM(
    FILTER(
      Income!$K$6:$K$8,
      E4 &gt;= Income!$M$6:$M$8
    )
  )
,)"),"")</f>
        <v/>
      </c>
      <c r="F18" s="112">
        <f>IFERROR(__xludf.DUMMYFUNCTION("IF(
  OR(F5=1, F5=2, F5=5,F5=6),
  SUM(
    FILTER(
      Income!$K$6:$K$8,
      F4 &gt;= Income!$M$6:$M$8
    )
  )
,)"),0.0)</f>
        <v>0</v>
      </c>
      <c r="G18" s="112">
        <f>IFERROR(__xludf.DUMMYFUNCTION("IF(
  OR(G5=1, G5=2, G5=5,G5=6),
  SUM(
    FILTER(
      Income!$K$6:$K$8,
      G4 &gt;= Income!$M$6:$M$8
    )
  )
,)"),0.0)</f>
        <v>0</v>
      </c>
      <c r="H18" s="112">
        <f>IFERROR(__xludf.DUMMYFUNCTION("IF(
  OR(H5=1, H5=2, H5=5,H5=6),
  SUM(
    FILTER(
      Income!$K$6:$K$8,
      H4 &gt;= Income!$M$6:$M$8
    )
  )
,)"),0.0)</f>
        <v>0</v>
      </c>
      <c r="I18" s="112">
        <f>IFERROR(__xludf.DUMMYFUNCTION("IF(
  OR(I5=1, I5=2, I5=5,I5=6),
  SUM(
    FILTER(
      Income!$K$6:$K$8,
      I4 &gt;= Income!$M$6:$M$8
    )
  )
,)"),0.0)</f>
        <v>0</v>
      </c>
      <c r="J18" s="112">
        <f>IFERROR(__xludf.DUMMYFUNCTION("IF(
  OR(J5=1, J5=2, J5=5,J5=6),
  SUM(
    FILTER(
      Income!$K$6:$K$8,
      J4 &gt;= Income!$M$6:$M$8
    )
  )
,)"),0.0)</f>
        <v>0</v>
      </c>
      <c r="K18" s="112">
        <f>IFERROR(__xludf.DUMMYFUNCTION("IF(
  OR(K5=1, K5=2, K5=5,K5=6),
  SUM(
    FILTER(
      Income!$K$6:$K$8,
      K4 &gt;= Income!$M$6:$M$8
    )
  )
,)"),0.0)</f>
        <v>0</v>
      </c>
      <c r="L18" s="112">
        <f>IFERROR(__xludf.DUMMYFUNCTION("IF(
  OR(L5=1, L5=2, L5=5,L5=6),
  SUM(
    FILTER(
      Income!$K$6:$K$8,
      L4 &gt;= Income!$M$6:$M$8
    )
  )
,)"),0.0)</f>
        <v>0</v>
      </c>
      <c r="M18" s="112">
        <f>IFERROR(__xludf.DUMMYFUNCTION("IF(
  OR(M5=1, M5=2, M5=5,M5=6),
  SUM(
    FILTER(
      Income!$K$6:$K$8,
      M4 &gt;= Income!$M$6:$M$8
    )
  )
,)"),0.0)</f>
        <v>0</v>
      </c>
      <c r="N18" s="112">
        <f>IFERROR(__xludf.DUMMYFUNCTION("IF(
  OR(N5=1, N5=2, N5=5,N5=6),
  SUM(
    FILTER(
      Income!$K$6:$K$8,
      N4 &gt;= Income!$M$6:$M$8
    )
  )
,)"),0.0)</f>
        <v>0</v>
      </c>
      <c r="O18" s="112">
        <f>IFERROR(__xludf.DUMMYFUNCTION("IF(
  OR(O5=1, O5=2, O5=5,O5=6),
  SUM(
    FILTER(
      Income!$K$6:$K$8,
      O4 &gt;= Income!$M$6:$M$8
    )
  )
,)"),0.0)</f>
        <v>0</v>
      </c>
      <c r="P18" s="112">
        <f>IFERROR(__xludf.DUMMYFUNCTION("IF(
  OR(P5=1, P5=2, P5=5,P5=6),
  SUM(
    FILTER(
      Income!$K$6:$K$8,
      P4 &gt;= Income!$M$6:$M$8
    )
  )
,)"),0.0)</f>
        <v>0</v>
      </c>
      <c r="Q18" s="112">
        <f>IFERROR(__xludf.DUMMYFUNCTION("IF(
  OR(Q5=1, Q5=2, Q5=5,Q5=6),
  SUM(
    FILTER(
      Income!$K$6:$K$8,
      Q4 &gt;= Income!$M$6:$M$8
    )
  )
,)"),0.0)</f>
        <v>0</v>
      </c>
      <c r="R18" s="112">
        <f>IFERROR(__xludf.DUMMYFUNCTION("IF(
  OR(R5=1, R5=2, R5=5,R5=6),
  SUM(
    FILTER(
      Income!$K$6:$K$8,
      R4 &gt;= Income!$M$6:$M$8
    )
  )
,)"),0.0)</f>
        <v>0</v>
      </c>
      <c r="S18" s="112">
        <f>IFERROR(__xludf.DUMMYFUNCTION("IF(
  OR(S5=1, S5=2, S5=5,S5=6),
  SUM(
    FILTER(
      Income!$K$6:$K$8,
      S4 &gt;= Income!$M$6:$M$8
    )
  )
,)"),0.0)</f>
        <v>0</v>
      </c>
      <c r="T18" s="112">
        <f>IFERROR(__xludf.DUMMYFUNCTION("IF(
  OR(T5=1, T5=2, T5=5,T5=6),
  SUM(
    FILTER(
      Income!$K$6:$K$8,
      T4 &gt;= Income!$M$6:$M$8
    )
  )
,)"),0.0)</f>
        <v>0</v>
      </c>
      <c r="U18" s="112">
        <f>IFERROR(__xludf.DUMMYFUNCTION("IF(
  OR(U5=1, U5=2, U5=5,U5=6),
  SUM(
    FILTER(
      Income!$K$6:$K$8,
      U4 &gt;= Income!$M$6:$M$8
    )
  )
,)"),0.0)</f>
        <v>0</v>
      </c>
      <c r="V18" s="112">
        <f>IFERROR(__xludf.DUMMYFUNCTION("IF(
  OR(V5=1, V5=2, V5=5,V5=6),
  SUM(
    FILTER(
      Income!$K$6:$K$8,
      V4 &gt;= Income!$M$6:$M$8
    )
  )
,)"),0.0)</f>
        <v>0</v>
      </c>
      <c r="W18" s="112">
        <f>IFERROR(__xludf.DUMMYFUNCTION("IF(
  OR(W5=1, W5=2, W5=5,W5=6),
  SUM(
    FILTER(
      Income!$K$6:$K$8,
      W4 &gt;= Income!$M$6:$M$8
    )
  )
,)"),0.0)</f>
        <v>0</v>
      </c>
      <c r="X18" s="112">
        <f>IFERROR(__xludf.DUMMYFUNCTION("IF(
  OR(X5=1, X5=2, X5=5,X5=6),
  SUM(
    FILTER(
      Income!$K$6:$K$8,
      X4 &gt;= Income!$M$6:$M$8
    )
  )
,)"),0.0)</f>
        <v>0</v>
      </c>
      <c r="Y18" s="112">
        <f>IFERROR(__xludf.DUMMYFUNCTION("IF(
  OR(Y5=1, Y5=2, Y5=5,Y5=6),
  SUM(
    FILTER(
      Income!$K$6:$K$8,
      Y4 &gt;= Income!$M$6:$M$8
    )
  )
,)"),0.0)</f>
        <v>0</v>
      </c>
      <c r="Z18" s="112">
        <f>IFERROR(__xludf.DUMMYFUNCTION("IF(
  OR(Z5=1, Z5=2, Z5=5,Z5=6),
  SUM(
    FILTER(
      Income!$K$6:$K$8,
      Z4 &gt;= Income!$M$6:$M$8
    )
  )
,)"),0.0)</f>
        <v>0</v>
      </c>
      <c r="AA18" s="112">
        <f>IFERROR(__xludf.DUMMYFUNCTION("IF(
  OR(AA5=1, AA5=2, AA5=5,AA5=6),
  SUM(
    FILTER(
      Income!$K$6:$K$8,
      AA4 &gt;= Income!$M$6:$M$8
    )
  )
,)"),0.0)</f>
        <v>0</v>
      </c>
      <c r="AB18" s="112">
        <f>IFERROR(__xludf.DUMMYFUNCTION("IF(
  OR(AB5=1, AB5=2, AB5=5,AB5=6),
  SUM(
    FILTER(
      Income!$K$6:$K$8,
      AB4 &gt;= Income!$M$6:$M$8
    )
  )
,)"),0.0)</f>
        <v>0</v>
      </c>
      <c r="AC18" s="112">
        <f>IFERROR(__xludf.DUMMYFUNCTION("IF(
  OR(AC5=1, AC5=2, AC5=5,AC5=6),
  SUM(
    FILTER(
      Income!$K$6:$K$8,
      AC4 &gt;= Income!$M$6:$M$8
    )
  )
,)"),0.0)</f>
        <v>0</v>
      </c>
      <c r="AD18" s="112">
        <f>IFERROR(__xludf.DUMMYFUNCTION("IF(
  OR(AD5=1, AD5=2, AD5=5,AD5=6),
  SUM(
    FILTER(
      Income!$K$6:$K$8,
      AD4 &gt;= Income!$M$6:$M$8
    )
  )
,)"),0.0)</f>
        <v>0</v>
      </c>
      <c r="AE18" s="112">
        <f>IFERROR(__xludf.DUMMYFUNCTION("IF(
  OR(AE5=1, AE5=2, AE5=5,AE5=6),
  SUM(
    FILTER(
      Income!$K$6:$K$8,
      AE4 &gt;= Income!$M$6:$M$8
    )
  )
,)"),0.0)</f>
        <v>0</v>
      </c>
      <c r="AF18" s="112">
        <f>IFERROR(__xludf.DUMMYFUNCTION("IF(
  OR(AF5=1, AF5=2, AF5=5,AF5=6),
  SUM(
    FILTER(
      Income!$K$6:$K$8,
      AF4 &gt;= Income!$M$6:$M$8
    )
  )
,)"),0.0)</f>
        <v>0</v>
      </c>
      <c r="AG18" s="112">
        <f>IFERROR(__xludf.DUMMYFUNCTION("IF(
  OR(AG5=1, AG5=2, AG5=5,AG5=6),
  SUM(
    FILTER(
      Income!$K$6:$K$8,
      AG4 &gt;= Income!$M$6:$M$8
    )
  )
,)"),0.0)</f>
        <v>0</v>
      </c>
      <c r="AH18" s="112">
        <f>IFERROR(__xludf.DUMMYFUNCTION("IF(
  OR(AH5=1, AH5=2, AH5=5,AH5=6),
  SUM(
    FILTER(
      Income!$K$6:$K$8,
      AH4 &gt;= Income!$M$6:$M$8
    )
  )
,)"),0.0)</f>
        <v>0</v>
      </c>
      <c r="AI18" s="112">
        <f>IFERROR(__xludf.DUMMYFUNCTION("IF(
  OR(AI5=1, AI5=2, AI5=5,AI5=6),
  SUM(
    FILTER(
      Income!$K$6:$K$8,
      AI4 &gt;= Income!$M$6:$M$8
    )
  )
,)"),0.0)</f>
        <v>0</v>
      </c>
      <c r="AJ18" s="112">
        <f>IFERROR(__xludf.DUMMYFUNCTION("IF(
  OR(AJ5=1, AJ5=2, AJ5=5,AJ5=6),
  SUM(
    FILTER(
      Income!$K$6:$K$8,
      AJ4 &gt;= Income!$M$6:$M$8
    )
  )
,)"),0.0)</f>
        <v>0</v>
      </c>
      <c r="AK18" s="112">
        <f>IFERROR(__xludf.DUMMYFUNCTION("IF(
  OR(AK5=1, AK5=2, AK5=5,AK5=6),
  SUM(
    FILTER(
      Income!$K$6:$K$8,
      AK4 &gt;= Income!$M$6:$M$8
    )
  )
,)"),0.0)</f>
        <v>0</v>
      </c>
      <c r="AL18" s="112" t="str">
        <f>IFERROR(__xludf.DUMMYFUNCTION("IF(
  OR(AL5=1, AL5=2, AL5=5,AL5=6),
  SUM(
    FILTER(
      Income!$K$6:$K$8,
      AL4 &gt;= Income!$M$6:$M$8
    )
  )
,)"),"")</f>
        <v/>
      </c>
      <c r="AM18" s="112" t="str">
        <f>IFERROR(__xludf.DUMMYFUNCTION("IF(
  OR(AM5=1, AM5=2, AM5=5,AM5=6),
  SUM(
    FILTER(
      Income!$K$6:$K$8,
      AM4 &gt;= Income!$M$6:$M$8
    )
  )
,)"),"")</f>
        <v/>
      </c>
      <c r="AN18" s="112" t="str">
        <f>IFERROR(__xludf.DUMMYFUNCTION("IF(
  OR(AN5=1, AN5=2, AN5=5,AN5=6),
  SUM(
    FILTER(
      Income!$K$6:$K$8,
      AN4 &gt;= Income!$M$6:$M$8
    )
  )
,)"),"")</f>
        <v/>
      </c>
      <c r="AO18" s="112" t="str">
        <f>IFERROR(__xludf.DUMMYFUNCTION("IF(
  OR(AO5=1, AO5=2, AO5=5,AO5=6),
  SUM(
    FILTER(
      Income!$K$6:$K$8,
      AO4 &gt;= Income!$M$6:$M$8
    )
  )
,)"),"")</f>
        <v/>
      </c>
      <c r="AP18" s="112" t="str">
        <f>IFERROR(__xludf.DUMMYFUNCTION("IF(
  OR(AP5=1, AP5=2, AP5=5,AP5=6),
  SUM(
    FILTER(
      Income!$K$6:$K$8,
      AP4 &gt;= Income!$M$6:$M$8
    )
  )
,)"),"")</f>
        <v/>
      </c>
      <c r="AQ18" s="112" t="str">
        <f>IFERROR(__xludf.DUMMYFUNCTION("IF(
  OR(AQ5=1, AQ5=2, AQ5=5,AQ5=6),
  SUM(
    FILTER(
      Income!$K$6:$K$8,
      AQ4 &gt;= Income!$M$6:$M$8
    )
  )
,)"),"")</f>
        <v/>
      </c>
      <c r="AR18" s="112" t="str">
        <f>IFERROR(__xludf.DUMMYFUNCTION("IF(
  OR(AR5=1, AR5=2, AR5=5,AR5=6),
  SUM(
    FILTER(
      Income!$K$6:$K$8,
      AR4 &gt;= Income!$M$6:$M$8
    )
  )
,)"),"")</f>
        <v/>
      </c>
      <c r="AS18" s="112" t="str">
        <f>IFERROR(__xludf.DUMMYFUNCTION("IF(
  OR(AS5=1, AS5=2, AS5=5,AS5=6),
  SUM(
    FILTER(
      Income!$K$6:$K$8,
      AS4 &gt;= Income!$M$6:$M$8
    )
  )
,)"),"")</f>
        <v/>
      </c>
      <c r="AT18" s="112" t="str">
        <f>IFERROR(__xludf.DUMMYFUNCTION("IF(
  OR(AT5=1, AT5=2, AT5=5,AT5=6),
  SUM(
    FILTER(
      Income!$K$6:$K$8,
      AT4 &gt;= Income!$M$6:$M$8
    )
  )
,)"),"")</f>
        <v/>
      </c>
      <c r="AU18" s="112" t="str">
        <f>IFERROR(__xludf.DUMMYFUNCTION("IF(
  OR(AU5=1, AU5=2, AU5=5,AU5=6),
  SUM(
    FILTER(
      Income!$K$6:$K$8,
      AU4 &gt;= Income!$M$6:$M$8
    )
  )
,)"),"")</f>
        <v/>
      </c>
      <c r="AV18" s="112" t="str">
        <f>IFERROR(__xludf.DUMMYFUNCTION("IF(
  OR(AV5=1, AV5=2, AV5=5,AV5=6),
  SUM(
    FILTER(
      Income!$K$6:$K$8,
      AV4 &gt;= Income!$M$6:$M$8
    )
  )
,)"),"")</f>
        <v/>
      </c>
      <c r="AW18" s="103"/>
    </row>
    <row r="19">
      <c r="A19" s="113" t="s">
        <v>67</v>
      </c>
      <c r="B19" s="92"/>
      <c r="C19" s="92"/>
      <c r="D19" s="110" t="str">
        <f t="shared" ref="D19:AV19" si="9">if(D18&gt;0,D18/12,)</f>
        <v/>
      </c>
      <c r="E19" s="110" t="str">
        <f t="shared" si="9"/>
        <v/>
      </c>
      <c r="F19" s="110" t="str">
        <f t="shared" si="9"/>
        <v/>
      </c>
      <c r="G19" s="110" t="str">
        <f t="shared" si="9"/>
        <v/>
      </c>
      <c r="H19" s="110" t="str">
        <f t="shared" si="9"/>
        <v/>
      </c>
      <c r="I19" s="110" t="str">
        <f t="shared" si="9"/>
        <v/>
      </c>
      <c r="J19" s="110" t="str">
        <f t="shared" si="9"/>
        <v/>
      </c>
      <c r="K19" s="110" t="str">
        <f t="shared" si="9"/>
        <v/>
      </c>
      <c r="L19" s="110" t="str">
        <f t="shared" si="9"/>
        <v/>
      </c>
      <c r="M19" s="110" t="str">
        <f t="shared" si="9"/>
        <v/>
      </c>
      <c r="N19" s="110" t="str">
        <f t="shared" si="9"/>
        <v/>
      </c>
      <c r="O19" s="110" t="str">
        <f t="shared" si="9"/>
        <v/>
      </c>
      <c r="P19" s="110" t="str">
        <f t="shared" si="9"/>
        <v/>
      </c>
      <c r="Q19" s="110" t="str">
        <f t="shared" si="9"/>
        <v/>
      </c>
      <c r="R19" s="110" t="str">
        <f t="shared" si="9"/>
        <v/>
      </c>
      <c r="S19" s="110" t="str">
        <f t="shared" si="9"/>
        <v/>
      </c>
      <c r="T19" s="110" t="str">
        <f t="shared" si="9"/>
        <v/>
      </c>
      <c r="U19" s="110" t="str">
        <f t="shared" si="9"/>
        <v/>
      </c>
      <c r="V19" s="110" t="str">
        <f t="shared" si="9"/>
        <v/>
      </c>
      <c r="W19" s="110" t="str">
        <f t="shared" si="9"/>
        <v/>
      </c>
      <c r="X19" s="110" t="str">
        <f t="shared" si="9"/>
        <v/>
      </c>
      <c r="Y19" s="110" t="str">
        <f t="shared" si="9"/>
        <v/>
      </c>
      <c r="Z19" s="110" t="str">
        <f t="shared" si="9"/>
        <v/>
      </c>
      <c r="AA19" s="110" t="str">
        <f t="shared" si="9"/>
        <v/>
      </c>
      <c r="AB19" s="110" t="str">
        <f t="shared" si="9"/>
        <v/>
      </c>
      <c r="AC19" s="110" t="str">
        <f t="shared" si="9"/>
        <v/>
      </c>
      <c r="AD19" s="110" t="str">
        <f t="shared" si="9"/>
        <v/>
      </c>
      <c r="AE19" s="110" t="str">
        <f t="shared" si="9"/>
        <v/>
      </c>
      <c r="AF19" s="110" t="str">
        <f t="shared" si="9"/>
        <v/>
      </c>
      <c r="AG19" s="110" t="str">
        <f t="shared" si="9"/>
        <v/>
      </c>
      <c r="AH19" s="110" t="str">
        <f t="shared" si="9"/>
        <v/>
      </c>
      <c r="AI19" s="110" t="str">
        <f t="shared" si="9"/>
        <v/>
      </c>
      <c r="AJ19" s="110" t="str">
        <f t="shared" si="9"/>
        <v/>
      </c>
      <c r="AK19" s="110" t="str">
        <f t="shared" si="9"/>
        <v/>
      </c>
      <c r="AL19" s="110" t="str">
        <f t="shared" si="9"/>
        <v/>
      </c>
      <c r="AM19" s="110" t="str">
        <f t="shared" si="9"/>
        <v/>
      </c>
      <c r="AN19" s="110" t="str">
        <f t="shared" si="9"/>
        <v/>
      </c>
      <c r="AO19" s="110" t="str">
        <f t="shared" si="9"/>
        <v/>
      </c>
      <c r="AP19" s="110" t="str">
        <f t="shared" si="9"/>
        <v/>
      </c>
      <c r="AQ19" s="110" t="str">
        <f t="shared" si="9"/>
        <v/>
      </c>
      <c r="AR19" s="110" t="str">
        <f t="shared" si="9"/>
        <v/>
      </c>
      <c r="AS19" s="110" t="str">
        <f t="shared" si="9"/>
        <v/>
      </c>
      <c r="AT19" s="110" t="str">
        <f t="shared" si="9"/>
        <v/>
      </c>
      <c r="AU19" s="110" t="str">
        <f t="shared" si="9"/>
        <v/>
      </c>
      <c r="AV19" s="110" t="str">
        <f t="shared" si="9"/>
        <v/>
      </c>
      <c r="AW19" s="103"/>
    </row>
    <row r="20">
      <c r="A20" s="111" t="s">
        <v>68</v>
      </c>
      <c r="B20" s="92"/>
      <c r="C20" s="92"/>
      <c r="D20" s="112" t="str">
        <f>IFERROR(__xludf.DUMMYFUNCTION("IF(
  OR(D5=1,D5=2,D5=5,D5=6),
  SUM(
    FILTER(
      Income!$K$10:$K$12,
      D4 &gt;= Income!$M$10:$M$12
    )
  )
,)"),"")</f>
        <v/>
      </c>
      <c r="E20" s="112" t="str">
        <f>IFERROR(__xludf.DUMMYFUNCTION("IF(
  OR(E5=1,E5=2,E5=5,E5=6),
  SUM(
    FILTER(
      Income!$K$10:$K$12,
      E4 &gt;= Income!$M$10:$M$12
    )
  )
,)"),"")</f>
        <v/>
      </c>
      <c r="F20" s="112">
        <f>IFERROR(__xludf.DUMMYFUNCTION("IF(
  OR(F5=1,F5=2,F5=5,F5=6),
  SUM(
    FILTER(
      Income!$K$10:$K$12,
      F4 &gt;= Income!$M$10:$M$12
    )
  )
,)"),7000.0)</f>
        <v>7000</v>
      </c>
      <c r="G20" s="112">
        <f>IFERROR(__xludf.DUMMYFUNCTION("IF(
  OR(G5=1,G5=2,G5=5,G5=6),
  SUM(
    FILTER(
      Income!$K$10:$K$12,
      G4 &gt;= Income!$M$10:$M$12
    )
  )
,)"),7000.0)</f>
        <v>7000</v>
      </c>
      <c r="H20" s="112">
        <f>IFERROR(__xludf.DUMMYFUNCTION("IF(
  OR(H5=1,H5=2,H5=5,H5=6),
  SUM(
    FILTER(
      Income!$K$10:$K$12,
      H4 &gt;= Income!$M$10:$M$12
    )
  )
,)"),7000.0)</f>
        <v>7000</v>
      </c>
      <c r="I20" s="112">
        <f>IFERROR(__xludf.DUMMYFUNCTION("IF(
  OR(I5=1,I5=2,I5=5,I5=6),
  SUM(
    FILTER(
      Income!$K$10:$K$12,
      I4 &gt;= Income!$M$10:$M$12
    )
  )
,)"),7000.0)</f>
        <v>7000</v>
      </c>
      <c r="J20" s="112">
        <f>IFERROR(__xludf.DUMMYFUNCTION("IF(
  OR(J5=1,J5=2,J5=5,J5=6),
  SUM(
    FILTER(
      Income!$K$10:$K$12,
      J4 &gt;= Income!$M$10:$M$12
    )
  )
,)"),10000.0)</f>
        <v>10000</v>
      </c>
      <c r="K20" s="112">
        <f>IFERROR(__xludf.DUMMYFUNCTION("IF(
  OR(K5=1,K5=2,K5=5,K5=6),
  SUM(
    FILTER(
      Income!$K$10:$K$12,
      K4 &gt;= Income!$M$10:$M$12
    )
  )
,)"),10000.0)</f>
        <v>10000</v>
      </c>
      <c r="L20" s="112">
        <f>IFERROR(__xludf.DUMMYFUNCTION("IF(
  OR(L5=1,L5=2,L5=5,L5=6),
  SUM(
    FILTER(
      Income!$K$10:$K$12,
      L4 &gt;= Income!$M$10:$M$12
    )
  )
,)"),10000.0)</f>
        <v>10000</v>
      </c>
      <c r="M20" s="112">
        <f>IFERROR(__xludf.DUMMYFUNCTION("IF(
  OR(M5=1,M5=2,M5=5,M5=6),
  SUM(
    FILTER(
      Income!$K$10:$K$12,
      M4 &gt;= Income!$M$10:$M$12
    )
  )
,)"),10000.0)</f>
        <v>10000</v>
      </c>
      <c r="N20" s="112">
        <f>IFERROR(__xludf.DUMMYFUNCTION("IF(
  OR(N5=1,N5=2,N5=5,N5=6),
  SUM(
    FILTER(
      Income!$K$10:$K$12,
      N4 &gt;= Income!$M$10:$M$12
    )
  )
,)"),10000.0)</f>
        <v>10000</v>
      </c>
      <c r="O20" s="112">
        <f>IFERROR(__xludf.DUMMYFUNCTION("IF(
  OR(O5=1,O5=2,O5=5,O5=6),
  SUM(
    FILTER(
      Income!$K$10:$K$12,
      O4 &gt;= Income!$M$10:$M$12
    )
  )
,)"),10000.0)</f>
        <v>10000</v>
      </c>
      <c r="P20" s="112">
        <f>IFERROR(__xludf.DUMMYFUNCTION("IF(
  OR(P5=1,P5=2,P5=5,P5=6),
  SUM(
    FILTER(
      Income!$K$10:$K$12,
      P4 &gt;= Income!$M$10:$M$12
    )
  )
,)"),10000.0)</f>
        <v>10000</v>
      </c>
      <c r="Q20" s="112">
        <f>IFERROR(__xludf.DUMMYFUNCTION("IF(
  OR(Q5=1,Q5=2,Q5=5,Q5=6),
  SUM(
    FILTER(
      Income!$K$10:$K$12,
      Q4 &gt;= Income!$M$10:$M$12
    )
  )
,)"),10000.0)</f>
        <v>10000</v>
      </c>
      <c r="R20" s="112">
        <f>IFERROR(__xludf.DUMMYFUNCTION("IF(
  OR(R5=1,R5=2,R5=5,R5=6),
  SUM(
    FILTER(
      Income!$K$10:$K$12,
      R4 &gt;= Income!$M$10:$M$12
    )
  )
,)"),10000.0)</f>
        <v>10000</v>
      </c>
      <c r="S20" s="112">
        <f>IFERROR(__xludf.DUMMYFUNCTION("IF(
  OR(S5=1,S5=2,S5=5,S5=6),
  SUM(
    FILTER(
      Income!$K$10:$K$12,
      S4 &gt;= Income!$M$10:$M$12
    )
  )
,)"),10000.0)</f>
        <v>10000</v>
      </c>
      <c r="T20" s="112">
        <f>IFERROR(__xludf.DUMMYFUNCTION("IF(
  OR(T5=1,T5=2,T5=5,T5=6),
  SUM(
    FILTER(
      Income!$K$10:$K$12,
      T4 &gt;= Income!$M$10:$M$12
    )
  )
,)"),10000.0)</f>
        <v>10000</v>
      </c>
      <c r="U20" s="112">
        <f>IFERROR(__xludf.DUMMYFUNCTION("IF(
  OR(U5=1,U5=2,U5=5,U5=6),
  SUM(
    FILTER(
      Income!$K$10:$K$12,
      U4 &gt;= Income!$M$10:$M$12
    )
  )
,)"),10000.0)</f>
        <v>10000</v>
      </c>
      <c r="V20" s="112">
        <f>IFERROR(__xludf.DUMMYFUNCTION("IF(
  OR(V5=1,V5=2,V5=5,V5=6),
  SUM(
    FILTER(
      Income!$K$10:$K$12,
      V4 &gt;= Income!$M$10:$M$12
    )
  )
,)"),10000.0)</f>
        <v>10000</v>
      </c>
      <c r="W20" s="112">
        <f>IFERROR(__xludf.DUMMYFUNCTION("IF(
  OR(W5=1,W5=2,W5=5,W5=6),
  SUM(
    FILTER(
      Income!$K$10:$K$12,
      W4 &gt;= Income!$M$10:$M$12
    )
  )
,)"),10000.0)</f>
        <v>10000</v>
      </c>
      <c r="X20" s="112">
        <f>IFERROR(__xludf.DUMMYFUNCTION("IF(
  OR(X5=1,X5=2,X5=5,X5=6),
  SUM(
    FILTER(
      Income!$K$10:$K$12,
      X4 &gt;= Income!$M$10:$M$12
    )
  )
,)"),10000.0)</f>
        <v>10000</v>
      </c>
      <c r="Y20" s="112">
        <f>IFERROR(__xludf.DUMMYFUNCTION("IF(
  OR(Y5=1,Y5=2,Y5=5,Y5=6),
  SUM(
    FILTER(
      Income!$K$10:$K$12,
      Y4 &gt;= Income!$M$10:$M$12
    )
  )
,)"),10000.0)</f>
        <v>10000</v>
      </c>
      <c r="Z20" s="112">
        <f>IFERROR(__xludf.DUMMYFUNCTION("IF(
  OR(Z5=1,Z5=2,Z5=5,Z5=6),
  SUM(
    FILTER(
      Income!$K$10:$K$12,
      Z4 &gt;= Income!$M$10:$M$12
    )
  )
,)"),10000.0)</f>
        <v>10000</v>
      </c>
      <c r="AA20" s="112">
        <f>IFERROR(__xludf.DUMMYFUNCTION("IF(
  OR(AA5=1,AA5=2,AA5=5,AA5=6),
  SUM(
    FILTER(
      Income!$K$10:$K$12,
      AA4 &gt;= Income!$M$10:$M$12
    )
  )
,)"),10000.0)</f>
        <v>10000</v>
      </c>
      <c r="AB20" s="112">
        <f>IFERROR(__xludf.DUMMYFUNCTION("IF(
  OR(AB5=1,AB5=2,AB5=5,AB5=6),
  SUM(
    FILTER(
      Income!$K$10:$K$12,
      AB4 &gt;= Income!$M$10:$M$12
    )
  )
,)"),10000.0)</f>
        <v>10000</v>
      </c>
      <c r="AC20" s="112">
        <f>IFERROR(__xludf.DUMMYFUNCTION("IF(
  OR(AC5=1,AC5=2,AC5=5,AC5=6),
  SUM(
    FILTER(
      Income!$K$10:$K$12,
      AC4 &gt;= Income!$M$10:$M$12
    )
  )
,)"),10000.0)</f>
        <v>10000</v>
      </c>
      <c r="AD20" s="112">
        <f>IFERROR(__xludf.DUMMYFUNCTION("IF(
  OR(AD5=1,AD5=2,AD5=5,AD5=6),
  SUM(
    FILTER(
      Income!$K$10:$K$12,
      AD4 &gt;= Income!$M$10:$M$12
    )
  )
,)"),10000.0)</f>
        <v>10000</v>
      </c>
      <c r="AE20" s="112">
        <f>IFERROR(__xludf.DUMMYFUNCTION("IF(
  OR(AE5=1,AE5=2,AE5=5,AE5=6),
  SUM(
    FILTER(
      Income!$K$10:$K$12,
      AE4 &gt;= Income!$M$10:$M$12
    )
  )
,)"),10000.0)</f>
        <v>10000</v>
      </c>
      <c r="AF20" s="112">
        <f>IFERROR(__xludf.DUMMYFUNCTION("IF(
  OR(AF5=1,AF5=2,AF5=5,AF5=6),
  SUM(
    FILTER(
      Income!$K$10:$K$12,
      AF4 &gt;= Income!$M$10:$M$12
    )
  )
,)"),10000.0)</f>
        <v>10000</v>
      </c>
      <c r="AG20" s="112">
        <f>IFERROR(__xludf.DUMMYFUNCTION("IF(
  OR(AG5=1,AG5=2,AG5=5,AG5=6),
  SUM(
    FILTER(
      Income!$K$10:$K$12,
      AG4 &gt;= Income!$M$10:$M$12
    )
  )
,)"),10000.0)</f>
        <v>10000</v>
      </c>
      <c r="AH20" s="112">
        <f>IFERROR(__xludf.DUMMYFUNCTION("IF(
  OR(AH5=1,AH5=2,AH5=5,AH5=6),
  SUM(
    FILTER(
      Income!$K$10:$K$12,
      AH4 &gt;= Income!$M$10:$M$12
    )
  )
,)"),10000.0)</f>
        <v>10000</v>
      </c>
      <c r="AI20" s="112">
        <f>IFERROR(__xludf.DUMMYFUNCTION("IF(
  OR(AI5=1,AI5=2,AI5=5,AI5=6),
  SUM(
    FILTER(
      Income!$K$10:$K$12,
      AI4 &gt;= Income!$M$10:$M$12
    )
  )
,)"),10000.0)</f>
        <v>10000</v>
      </c>
      <c r="AJ20" s="112">
        <f>IFERROR(__xludf.DUMMYFUNCTION("IF(
  OR(AJ5=1,AJ5=2,AJ5=5,AJ5=6),
  SUM(
    FILTER(
      Income!$K$10:$K$12,
      AJ4 &gt;= Income!$M$10:$M$12
    )
  )
,)"),10000.0)</f>
        <v>10000</v>
      </c>
      <c r="AK20" s="112">
        <f>IFERROR(__xludf.DUMMYFUNCTION("IF(
  OR(AK5=1,AK5=2,AK5=5,AK5=6),
  SUM(
    FILTER(
      Income!$K$10:$K$12,
      AK4 &gt;= Income!$M$10:$M$12
    )
  )
,)"),10000.0)</f>
        <v>10000</v>
      </c>
      <c r="AL20" s="112" t="str">
        <f>IFERROR(__xludf.DUMMYFUNCTION("IF(
  OR(AL5=1,AL5=2,AL5=5,AL5=6),
  SUM(
    FILTER(
      Income!$K$10:$K$12,
      AL4 &gt;= Income!$M$10:$M$12
    )
  )
,)"),"")</f>
        <v/>
      </c>
      <c r="AM20" s="112" t="str">
        <f>IFERROR(__xludf.DUMMYFUNCTION("IF(
  OR(AM5=1,AM5=2,AM5=5,AM5=6),
  SUM(
    FILTER(
      Income!$K$10:$K$12,
      AM4 &gt;= Income!$M$10:$M$12
    )
  )
,)"),"")</f>
        <v/>
      </c>
      <c r="AN20" s="112" t="str">
        <f>IFERROR(__xludf.DUMMYFUNCTION("IF(
  OR(AN5=1,AN5=2,AN5=5,AN5=6),
  SUM(
    FILTER(
      Income!$K$10:$K$12,
      AN4 &gt;= Income!$M$10:$M$12
    )
  )
,)"),"")</f>
        <v/>
      </c>
      <c r="AO20" s="112" t="str">
        <f>IFERROR(__xludf.DUMMYFUNCTION("IF(
  OR(AO5=1,AO5=2,AO5=5,AO5=6),
  SUM(
    FILTER(
      Income!$K$10:$K$12,
      AO4 &gt;= Income!$M$10:$M$12
    )
  )
,)"),"")</f>
        <v/>
      </c>
      <c r="AP20" s="112" t="str">
        <f>IFERROR(__xludf.DUMMYFUNCTION("IF(
  OR(AP5=1,AP5=2,AP5=5,AP5=6),
  SUM(
    FILTER(
      Income!$K$10:$K$12,
      AP4 &gt;= Income!$M$10:$M$12
    )
  )
,)"),"")</f>
        <v/>
      </c>
      <c r="AQ20" s="112" t="str">
        <f>IFERROR(__xludf.DUMMYFUNCTION("IF(
  OR(AQ5=1,AQ5=2,AQ5=5,AQ5=6),
  SUM(
    FILTER(
      Income!$K$10:$K$12,
      AQ4 &gt;= Income!$M$10:$M$12
    )
  )
,)"),"")</f>
        <v/>
      </c>
      <c r="AR20" s="112" t="str">
        <f>IFERROR(__xludf.DUMMYFUNCTION("IF(
  OR(AR5=1,AR5=2,AR5=5,AR5=6),
  SUM(
    FILTER(
      Income!$K$10:$K$12,
      AR4 &gt;= Income!$M$10:$M$12
    )
  )
,)"),"")</f>
        <v/>
      </c>
      <c r="AS20" s="112" t="str">
        <f>IFERROR(__xludf.DUMMYFUNCTION("IF(
  OR(AS5=1,AS5=2,AS5=5,AS5=6),
  SUM(
    FILTER(
      Income!$K$10:$K$12,
      AS4 &gt;= Income!$M$10:$M$12
    )
  )
,)"),"")</f>
        <v/>
      </c>
      <c r="AT20" s="112" t="str">
        <f>IFERROR(__xludf.DUMMYFUNCTION("IF(
  OR(AT5=1,AT5=2,AT5=5,AT5=6),
  SUM(
    FILTER(
      Income!$K$10:$K$12,
      AT4 &gt;= Income!$M$10:$M$12
    )
  )
,)"),"")</f>
        <v/>
      </c>
      <c r="AU20" s="112" t="str">
        <f>IFERROR(__xludf.DUMMYFUNCTION("IF(
  OR(AU5=1,AU5=2,AU5=5,AU5=6),
  SUM(
    FILTER(
      Income!$K$10:$K$12,
      AU4 &gt;= Income!$M$10:$M$12
    )
  )
,)"),"")</f>
        <v/>
      </c>
      <c r="AV20" s="112" t="str">
        <f>IFERROR(__xludf.DUMMYFUNCTION("IF(
  OR(AV5=1,AV5=2,AV5=5,AV5=6),
  SUM(
    FILTER(
      Income!$K$10:$K$12,
      AV4 &gt;= Income!$M$10:$M$12
    )
  )
,)"),"")</f>
        <v/>
      </c>
      <c r="AW20" s="103"/>
    </row>
    <row r="21">
      <c r="A21" s="113" t="s">
        <v>69</v>
      </c>
      <c r="B21" s="92"/>
      <c r="C21" s="92"/>
      <c r="D21" s="110" t="str">
        <f t="shared" ref="D21:AV21" si="10">if(D20&gt;0,D20/12,)</f>
        <v/>
      </c>
      <c r="E21" s="110" t="str">
        <f t="shared" si="10"/>
        <v/>
      </c>
      <c r="F21" s="110">
        <f t="shared" si="10"/>
        <v>583.3333333</v>
      </c>
      <c r="G21" s="110">
        <f t="shared" si="10"/>
        <v>583.3333333</v>
      </c>
      <c r="H21" s="110">
        <f t="shared" si="10"/>
        <v>583.3333333</v>
      </c>
      <c r="I21" s="110">
        <f t="shared" si="10"/>
        <v>583.3333333</v>
      </c>
      <c r="J21" s="110">
        <f t="shared" si="10"/>
        <v>833.3333333</v>
      </c>
      <c r="K21" s="110">
        <f t="shared" si="10"/>
        <v>833.3333333</v>
      </c>
      <c r="L21" s="110">
        <f t="shared" si="10"/>
        <v>833.3333333</v>
      </c>
      <c r="M21" s="110">
        <f t="shared" si="10"/>
        <v>833.3333333</v>
      </c>
      <c r="N21" s="110">
        <f t="shared" si="10"/>
        <v>833.3333333</v>
      </c>
      <c r="O21" s="110">
        <f t="shared" si="10"/>
        <v>833.3333333</v>
      </c>
      <c r="P21" s="110">
        <f t="shared" si="10"/>
        <v>833.3333333</v>
      </c>
      <c r="Q21" s="110">
        <f t="shared" si="10"/>
        <v>833.3333333</v>
      </c>
      <c r="R21" s="110">
        <f t="shared" si="10"/>
        <v>833.3333333</v>
      </c>
      <c r="S21" s="110">
        <f t="shared" si="10"/>
        <v>833.3333333</v>
      </c>
      <c r="T21" s="110">
        <f t="shared" si="10"/>
        <v>833.3333333</v>
      </c>
      <c r="U21" s="110">
        <f t="shared" si="10"/>
        <v>833.3333333</v>
      </c>
      <c r="V21" s="110">
        <f t="shared" si="10"/>
        <v>833.3333333</v>
      </c>
      <c r="W21" s="110">
        <f t="shared" si="10"/>
        <v>833.3333333</v>
      </c>
      <c r="X21" s="110">
        <f t="shared" si="10"/>
        <v>833.3333333</v>
      </c>
      <c r="Y21" s="110">
        <f t="shared" si="10"/>
        <v>833.3333333</v>
      </c>
      <c r="Z21" s="110">
        <f t="shared" si="10"/>
        <v>833.3333333</v>
      </c>
      <c r="AA21" s="110">
        <f t="shared" si="10"/>
        <v>833.3333333</v>
      </c>
      <c r="AB21" s="110">
        <f t="shared" si="10"/>
        <v>833.3333333</v>
      </c>
      <c r="AC21" s="110">
        <f t="shared" si="10"/>
        <v>833.3333333</v>
      </c>
      <c r="AD21" s="110">
        <f t="shared" si="10"/>
        <v>833.3333333</v>
      </c>
      <c r="AE21" s="110">
        <f t="shared" si="10"/>
        <v>833.3333333</v>
      </c>
      <c r="AF21" s="110">
        <f t="shared" si="10"/>
        <v>833.3333333</v>
      </c>
      <c r="AG21" s="110">
        <f t="shared" si="10"/>
        <v>833.3333333</v>
      </c>
      <c r="AH21" s="110">
        <f t="shared" si="10"/>
        <v>833.3333333</v>
      </c>
      <c r="AI21" s="110">
        <f t="shared" si="10"/>
        <v>833.3333333</v>
      </c>
      <c r="AJ21" s="110">
        <f t="shared" si="10"/>
        <v>833.3333333</v>
      </c>
      <c r="AK21" s="110">
        <f t="shared" si="10"/>
        <v>833.3333333</v>
      </c>
      <c r="AL21" s="110" t="str">
        <f t="shared" si="10"/>
        <v/>
      </c>
      <c r="AM21" s="110" t="str">
        <f t="shared" si="10"/>
        <v/>
      </c>
      <c r="AN21" s="110" t="str">
        <f t="shared" si="10"/>
        <v/>
      </c>
      <c r="AO21" s="110" t="str">
        <f t="shared" si="10"/>
        <v/>
      </c>
      <c r="AP21" s="110" t="str">
        <f t="shared" si="10"/>
        <v/>
      </c>
      <c r="AQ21" s="110" t="str">
        <f t="shared" si="10"/>
        <v/>
      </c>
      <c r="AR21" s="110" t="str">
        <f t="shared" si="10"/>
        <v/>
      </c>
      <c r="AS21" s="110" t="str">
        <f t="shared" si="10"/>
        <v/>
      </c>
      <c r="AT21" s="110" t="str">
        <f t="shared" si="10"/>
        <v/>
      </c>
      <c r="AU21" s="110" t="str">
        <f t="shared" si="10"/>
        <v/>
      </c>
      <c r="AV21" s="110" t="str">
        <f t="shared" si="10"/>
        <v/>
      </c>
      <c r="AW21" s="103"/>
    </row>
    <row r="22">
      <c r="A22" s="111" t="s">
        <v>70</v>
      </c>
      <c r="B22" s="92"/>
      <c r="C22" s="92"/>
      <c r="D22" s="112" t="str">
        <f>IF(
  OR(D5=1,D5=2,D5=5,D5=6),Income!$M$16
,)</f>
        <v/>
      </c>
      <c r="E22" s="112" t="str">
        <f>IF(
  OR(E5=1,E5=2,E5=5,E5=6),Income!$M$16
,)</f>
        <v/>
      </c>
      <c r="F22" s="112">
        <f>IF(
  OR(F5=1,F5=2,F5=5,F5=6),Income!$M$16
,)</f>
        <v>4837.49</v>
      </c>
      <c r="G22" s="112">
        <f>IF(
  OR(G5=1,G5=2,G5=5,G5=6),Income!$M$16
,)</f>
        <v>4837.49</v>
      </c>
      <c r="H22" s="112">
        <f>IF(
  OR(H5=1,H5=2,H5=5,H5=6),Income!$M$16
,)</f>
        <v>4837.49</v>
      </c>
      <c r="I22" s="112">
        <f>IF(
  OR(I5=1,I5=2,I5=5,I5=6),Income!$M$16
,)</f>
        <v>4837.49</v>
      </c>
      <c r="J22" s="112">
        <f>IF(
  OR(J5=1,J5=2,J5=5,J5=6),Income!$M$16
,)</f>
        <v>4837.49</v>
      </c>
      <c r="K22" s="112">
        <f>IF(
  OR(K5=1,K5=2,K5=5,K5=6),Income!$M$16
,)</f>
        <v>4837.49</v>
      </c>
      <c r="L22" s="112">
        <f>IF(
  OR(L5=1,L5=2,L5=5,L5=6),Income!$M$16
,)</f>
        <v>4837.49</v>
      </c>
      <c r="M22" s="112">
        <f>IF(
  OR(M5=1,M5=2,M5=5,M5=6),Income!$M$16
,)</f>
        <v>4837.49</v>
      </c>
      <c r="N22" s="112">
        <f>IF(
  OR(N5=1,N5=2,N5=5,N5=6),Income!$M$16
,)</f>
        <v>4837.49</v>
      </c>
      <c r="O22" s="112">
        <f>IF(
  OR(O5=1,O5=2,O5=5,O5=6),Income!$M$16
,)</f>
        <v>4837.49</v>
      </c>
      <c r="P22" s="112">
        <f>IF(
  OR(P5=1,P5=2,P5=5,P5=6),Income!$M$16
,)</f>
        <v>4837.49</v>
      </c>
      <c r="Q22" s="112">
        <f>IF(
  OR(Q5=1,Q5=2,Q5=5,Q5=6),Income!$M$16
,)</f>
        <v>4837.49</v>
      </c>
      <c r="R22" s="112">
        <f>IF(
  OR(R5=1,R5=2,R5=5,R5=6),Income!$M$16
,)</f>
        <v>4837.49</v>
      </c>
      <c r="S22" s="112">
        <f>IF(
  OR(S5=1,S5=2,S5=5,S5=6),Income!$M$16
,)</f>
        <v>4837.49</v>
      </c>
      <c r="T22" s="112">
        <f>IF(
  OR(T5=1,T5=2,T5=5,T5=6),Income!$M$16
,)</f>
        <v>4837.49</v>
      </c>
      <c r="U22" s="112">
        <f>IF(
  OR(U5=1,U5=2,U5=5,U5=6),Income!$M$16
,)</f>
        <v>4837.49</v>
      </c>
      <c r="V22" s="112">
        <f>IF(
  OR(V5=1,V5=2,V5=5,V5=6),Income!$M$16
,)</f>
        <v>4837.49</v>
      </c>
      <c r="W22" s="112">
        <f>IF(
  OR(W5=1,W5=2,W5=5,W5=6),Income!$M$16
,)</f>
        <v>4837.49</v>
      </c>
      <c r="X22" s="112">
        <f>IF(
  OR(X5=1,X5=2,X5=5,X5=6),Income!$M$16
,)</f>
        <v>4837.49</v>
      </c>
      <c r="Y22" s="112">
        <f>IF(
  OR(Y5=1,Y5=2,Y5=5,Y5=6),Income!$M$16
,)</f>
        <v>4837.49</v>
      </c>
      <c r="Z22" s="112">
        <f>IF(
  OR(Z5=1,Z5=2,Z5=5,Z5=6),Income!$M$16
,)</f>
        <v>4837.49</v>
      </c>
      <c r="AA22" s="112">
        <f>IF(
  OR(AA5=1,AA5=2,AA5=5,AA5=6),Income!$M$16
,)</f>
        <v>4837.49</v>
      </c>
      <c r="AB22" s="112">
        <f>IF(
  OR(AB5=1,AB5=2,AB5=5,AB5=6),Income!$M$16
,)</f>
        <v>4837.49</v>
      </c>
      <c r="AC22" s="112">
        <f>IF(
  OR(AC5=1,AC5=2,AC5=5,AC5=6),Income!$M$16
,)</f>
        <v>4837.49</v>
      </c>
      <c r="AD22" s="112">
        <f>IF(
  OR(AD5=1,AD5=2,AD5=5,AD5=6),Income!$M$16
,)</f>
        <v>4837.49</v>
      </c>
      <c r="AE22" s="112">
        <f>IF(
  OR(AE5=1,AE5=2,AE5=5,AE5=6),Income!$M$16
,)</f>
        <v>4837.49</v>
      </c>
      <c r="AF22" s="112">
        <f>IF(
  OR(AF5=1,AF5=2,AF5=5,AF5=6),Income!$M$16
,)</f>
        <v>4837.49</v>
      </c>
      <c r="AG22" s="112">
        <f>IF(
  OR(AG5=1,AG5=2,AG5=5,AG5=6),Income!$M$16
,)</f>
        <v>4837.49</v>
      </c>
      <c r="AH22" s="112">
        <f>IF(
  OR(AH5=1,AH5=2,AH5=5,AH5=6),Income!$M$16
,)</f>
        <v>4837.49</v>
      </c>
      <c r="AI22" s="112">
        <f>IF(
  OR(AI5=1,AI5=2,AI5=5,AI5=6),Income!$M$16
,)</f>
        <v>4837.49</v>
      </c>
      <c r="AJ22" s="112">
        <f>IF(
  OR(AJ5=1,AJ5=2,AJ5=5,AJ5=6),Income!$M$16
,)</f>
        <v>4837.49</v>
      </c>
      <c r="AK22" s="112">
        <f>IF(
  OR(AK5=1,AK5=2,AK5=5,AK5=6),Income!$M$16
,)</f>
        <v>4837.49</v>
      </c>
      <c r="AL22" s="112" t="str">
        <f>IF(
  OR(AL5=1,AL5=2,AL5=5,AL5=6),Income!$M$16
,)</f>
        <v/>
      </c>
      <c r="AM22" s="112" t="str">
        <f>IF(
  OR(AM5=1,AM5=2,AM5=5,AM5=6),Income!$M$16
,)</f>
        <v/>
      </c>
      <c r="AN22" s="112" t="str">
        <f>IF(
  OR(AN5=1,AN5=2,AN5=5,AN5=6),Income!$M$16
,)</f>
        <v/>
      </c>
      <c r="AO22" s="112" t="str">
        <f>IF(
  OR(AO5=1,AO5=2,AO5=5,AO5=6),Income!$M$16
,)</f>
        <v/>
      </c>
      <c r="AP22" s="112" t="str">
        <f>IF(
  OR(AP5=1,AP5=2,AP5=5,AP5=6),Income!$M$16
,)</f>
        <v/>
      </c>
      <c r="AQ22" s="112" t="str">
        <f>IF(
  OR(AQ5=1,AQ5=2,AQ5=5,AQ5=6),Income!$M$16
,)</f>
        <v/>
      </c>
      <c r="AR22" s="112" t="str">
        <f>IF(
  OR(AR5=1,AR5=2,AR5=5,AR5=6),Income!$M$16
,)</f>
        <v/>
      </c>
      <c r="AS22" s="112" t="str">
        <f>IF(
  OR(AS5=1,AS5=2,AS5=5,AS5=6),Income!$M$16
,)</f>
        <v/>
      </c>
      <c r="AT22" s="112" t="str">
        <f>IF(
  OR(AT5=1,AT5=2,AT5=5,AT5=6),Income!$M$16
,)</f>
        <v/>
      </c>
      <c r="AU22" s="112" t="str">
        <f>IF(
  OR(AU5=1,AU5=2,AU5=5,AU5=6),Income!$M$16
,)</f>
        <v/>
      </c>
      <c r="AV22" s="112" t="str">
        <f>IF(
  OR(AV5=1,AV5=2,AV5=5,AV5=6),Income!$M$16
,)</f>
        <v/>
      </c>
      <c r="AW22" s="103"/>
    </row>
    <row r="23">
      <c r="A23" s="113" t="s">
        <v>71</v>
      </c>
      <c r="B23" s="92"/>
      <c r="C23" s="92"/>
      <c r="D23" s="112" t="str">
        <f t="shared" ref="D23:AV23" si="11">if(D22&gt;0, D22 / 12,)</f>
        <v/>
      </c>
      <c r="E23" s="112" t="str">
        <f t="shared" si="11"/>
        <v/>
      </c>
      <c r="F23" s="112">
        <f t="shared" si="11"/>
        <v>403.1241667</v>
      </c>
      <c r="G23" s="112">
        <f t="shared" si="11"/>
        <v>403.1241667</v>
      </c>
      <c r="H23" s="112">
        <f t="shared" si="11"/>
        <v>403.1241667</v>
      </c>
      <c r="I23" s="112">
        <f t="shared" si="11"/>
        <v>403.1241667</v>
      </c>
      <c r="J23" s="112">
        <f t="shared" si="11"/>
        <v>403.1241667</v>
      </c>
      <c r="K23" s="112">
        <f t="shared" si="11"/>
        <v>403.1241667</v>
      </c>
      <c r="L23" s="112">
        <f t="shared" si="11"/>
        <v>403.1241667</v>
      </c>
      <c r="M23" s="112">
        <f t="shared" si="11"/>
        <v>403.1241667</v>
      </c>
      <c r="N23" s="112">
        <f t="shared" si="11"/>
        <v>403.1241667</v>
      </c>
      <c r="O23" s="112">
        <f t="shared" si="11"/>
        <v>403.1241667</v>
      </c>
      <c r="P23" s="112">
        <f t="shared" si="11"/>
        <v>403.1241667</v>
      </c>
      <c r="Q23" s="112">
        <f t="shared" si="11"/>
        <v>403.1241667</v>
      </c>
      <c r="R23" s="112">
        <f t="shared" si="11"/>
        <v>403.1241667</v>
      </c>
      <c r="S23" s="112">
        <f t="shared" si="11"/>
        <v>403.1241667</v>
      </c>
      <c r="T23" s="112">
        <f t="shared" si="11"/>
        <v>403.1241667</v>
      </c>
      <c r="U23" s="112">
        <f t="shared" si="11"/>
        <v>403.1241667</v>
      </c>
      <c r="V23" s="112">
        <f t="shared" si="11"/>
        <v>403.1241667</v>
      </c>
      <c r="W23" s="112">
        <f t="shared" si="11"/>
        <v>403.1241667</v>
      </c>
      <c r="X23" s="112">
        <f t="shared" si="11"/>
        <v>403.1241667</v>
      </c>
      <c r="Y23" s="112">
        <f t="shared" si="11"/>
        <v>403.1241667</v>
      </c>
      <c r="Z23" s="112">
        <f t="shared" si="11"/>
        <v>403.1241667</v>
      </c>
      <c r="AA23" s="112">
        <f t="shared" si="11"/>
        <v>403.1241667</v>
      </c>
      <c r="AB23" s="112">
        <f t="shared" si="11"/>
        <v>403.1241667</v>
      </c>
      <c r="AC23" s="112">
        <f t="shared" si="11"/>
        <v>403.1241667</v>
      </c>
      <c r="AD23" s="112">
        <f t="shared" si="11"/>
        <v>403.1241667</v>
      </c>
      <c r="AE23" s="112">
        <f t="shared" si="11"/>
        <v>403.1241667</v>
      </c>
      <c r="AF23" s="112">
        <f t="shared" si="11"/>
        <v>403.1241667</v>
      </c>
      <c r="AG23" s="112">
        <f t="shared" si="11"/>
        <v>403.1241667</v>
      </c>
      <c r="AH23" s="112">
        <f t="shared" si="11"/>
        <v>403.1241667</v>
      </c>
      <c r="AI23" s="112">
        <f t="shared" si="11"/>
        <v>403.1241667</v>
      </c>
      <c r="AJ23" s="112">
        <f t="shared" si="11"/>
        <v>403.1241667</v>
      </c>
      <c r="AK23" s="112">
        <f t="shared" si="11"/>
        <v>403.1241667</v>
      </c>
      <c r="AL23" s="112" t="str">
        <f t="shared" si="11"/>
        <v/>
      </c>
      <c r="AM23" s="112" t="str">
        <f t="shared" si="11"/>
        <v/>
      </c>
      <c r="AN23" s="112" t="str">
        <f t="shared" si="11"/>
        <v/>
      </c>
      <c r="AO23" s="112" t="str">
        <f t="shared" si="11"/>
        <v/>
      </c>
      <c r="AP23" s="112" t="str">
        <f t="shared" si="11"/>
        <v/>
      </c>
      <c r="AQ23" s="112" t="str">
        <f t="shared" si="11"/>
        <v/>
      </c>
      <c r="AR23" s="112" t="str">
        <f t="shared" si="11"/>
        <v/>
      </c>
      <c r="AS23" s="112" t="str">
        <f t="shared" si="11"/>
        <v/>
      </c>
      <c r="AT23" s="112" t="str">
        <f t="shared" si="11"/>
        <v/>
      </c>
      <c r="AU23" s="112" t="str">
        <f t="shared" si="11"/>
        <v/>
      </c>
      <c r="AV23" s="112" t="str">
        <f t="shared" si="11"/>
        <v/>
      </c>
      <c r="AW23" s="103"/>
    </row>
    <row r="24">
      <c r="A24" s="111" t="s">
        <v>72</v>
      </c>
      <c r="B24" s="92"/>
      <c r="C24" s="92"/>
      <c r="D24" s="112" t="str">
        <f>IF(
  OR(D5 = 0, D5 = 3, D5 = 4, D5 = 7),
  "",
  IF(
    D5 = 1, 'Person 2 Calculator'!$F$9,
    IF(
      OR(D5 = 2, D5 = 5, D5 = 6),
      D7 + D12 + D14 + D16 + D18 + D20 + D22,
      ""
    )
  )
)
</f>
        <v/>
      </c>
      <c r="E24" s="112" t="str">
        <f>IF(
  OR(E5 = 0, E5 = 3, E5 = 4, E5 = 7),
  "",
  IF(
    E5 = 1, 'Person 2 Calculator'!$F$9,
    IF(
      OR(E5 = 2, E5 = 5, E5 = 6),
      E7 + E12 + E14 + E16 + E18 + E20 + E22,
      ""
    )
  )
)
</f>
        <v/>
      </c>
      <c r="F24" s="112">
        <f>IF(
  OR(F5 = 0, F5 = 3, F5 = 4, F5 = 7),
  "",
  IF(
    F5 = 1, 'Person 2 Calculator'!$F$9,
    IF(
      OR(F5 = 2, F5 = 5, F5 = 6),
      F7 + F12 + F14 + F16 + F18 + F20 + F22,
      ""
    )
  )
)
</f>
        <v>18924.1</v>
      </c>
      <c r="G24" s="112">
        <f>IF(
  OR(G5 = 0, G5 = 3, G5 = 4, G5 = 7),
  "",
  IF(
    G5 = 1, 'Person 2 Calculator'!$F$9,
    IF(
      OR(G5 = 2, G5 = 5, G5 = 6),
      G7 + G12 + G14 + G16 + G18 + G20 + G22,
      ""
    )
  )
)
</f>
        <v>18924.1</v>
      </c>
      <c r="H24" s="112">
        <f>IF(
  OR(H5 = 0, H5 = 3, H5 = 4, H5 = 7),
  "",
  IF(
    H5 = 1, 'Person 2 Calculator'!$F$9,
    IF(
      OR(H5 = 2, H5 = 5, H5 = 6),
      H7 + H12 + H14 + H16 + H18 + H20 + H22,
      ""
    )
  )
)
</f>
        <v>18924.1</v>
      </c>
      <c r="I24" s="112">
        <f>IF(
  OR(I5 = 0, I5 = 3, I5 = 4, I5 = 7),
  "",
  IF(
    I5 = 1, 'Person 2 Calculator'!$F$9,
    IF(
      OR(I5 = 2, I5 = 5, I5 = 6),
      I7 + I12 + I14 + I16 + I18 + I20 + I22,
      ""
    )
  )
)
</f>
        <v>18924.1</v>
      </c>
      <c r="J24" s="112">
        <f>IF(
  OR(J5 = 0, J5 = 3, J5 = 4, J5 = 7),
  "",
  IF(
    J5 = 1, 'Person 2 Calculator'!$F$9,
    IF(
      OR(J5 = 2, J5 = 5, J5 = 6),
      J7 + J12 + J14 + J16 + J18 + J20 + J22,
      ""
    )
  )
)
</f>
        <v>21924.1</v>
      </c>
      <c r="K24" s="112">
        <f>IF(
  OR(K5 = 0, K5 = 3, K5 = 4, K5 = 7),
  "",
  IF(
    K5 = 1, 'Person 2 Calculator'!$F$9,
    IF(
      OR(K5 = 2, K5 = 5, K5 = 6),
      K7 + K12 + K14 + K16 + K18 + K20 + K22,
      ""
    )
  )
)
</f>
        <v>21924.1</v>
      </c>
      <c r="L24" s="112">
        <f>IF(
  OR(L5 = 0, L5 = 3, L5 = 4, L5 = 7),
  "",
  IF(
    L5 = 1, 'Person 2 Calculator'!$F$9,
    IF(
      OR(L5 = 2, L5 = 5, L5 = 6),
      L7 + L12 + L14 + L16 + L18 + L20 + L22,
      ""
    )
  )
)
</f>
        <v>21924.1</v>
      </c>
      <c r="M24" s="112">
        <f>IF(
  OR(M5 = 0, M5 = 3, M5 = 4, M5 = 7),
  "",
  IF(
    M5 = 1, 'Person 2 Calculator'!$F$9,
    IF(
      OR(M5 = 2, M5 = 5, M5 = 6),
      M7 + M12 + M14 + M16 + M18 + M20 + M22,
      ""
    )
  )
)
</f>
        <v>21924.1</v>
      </c>
      <c r="N24" s="112">
        <f>IF(
  OR(N5 = 0, N5 = 3, N5 = 4, N5 = 7),
  "",
  IF(
    N5 = 1, 'Person 2 Calculator'!$F$9,
    IF(
      OR(N5 = 2, N5 = 5, N5 = 6),
      N7 + N12 + N14 + N16 + N18 + N20 + N22,
      ""
    )
  )
)
</f>
        <v>21924.1</v>
      </c>
      <c r="O24" s="112">
        <f>IF(
  OR(O5 = 0, O5 = 3, O5 = 4, O5 = 7),
  "",
  IF(
    O5 = 1, 'Person 2 Calculator'!$F$9,
    IF(
      OR(O5 = 2, O5 = 5, O5 = 6),
      O7 + O12 + O14 + O16 + O18 + O20 + O22,
      ""
    )
  )
)
</f>
        <v>21924.1</v>
      </c>
      <c r="P24" s="112">
        <f>IF(
  OR(P5 = 0, P5 = 3, P5 = 4, P5 = 7),
  "",
  IF(
    P5 = 1, 'Person 2 Calculator'!$F$9,
    IF(
      OR(P5 = 2, P5 = 5, P5 = 6),
      P7 + P12 + P14 + P16 + P18 + P20 + P22,
      ""
    )
  )
)
</f>
        <v>39647.06482</v>
      </c>
      <c r="Q24" s="112">
        <f>IF(
  OR(Q5 = 0, Q5 = 3, Q5 = 4, Q5 = 7),
  "",
  IF(
    Q5 = 1, 'Person 2 Calculator'!$F$9,
    IF(
      OR(Q5 = 2, Q5 = 5, Q5 = 6),
      Q7 + Q12 + Q14 + Q16 + Q18 + Q20 + Q22,
      ""
    )
  )
)
</f>
        <v>40355.98342</v>
      </c>
      <c r="R24" s="112">
        <f>IF(
  OR(R5 = 0, R5 = 3, R5 = 4, R5 = 7),
  "",
  IF(
    R5 = 1, 'Person 2 Calculator'!$F$9,
    IF(
      OR(R5 = 2, R5 = 5, R5 = 6),
      R7 + R12 + R14 + R16 + R18 + R20 + R22,
      ""
    )
  )
)
</f>
        <v>41093.25875</v>
      </c>
      <c r="S24" s="112">
        <f>IF(
  OR(S5 = 0, S5 = 3, S5 = 4, S5 = 7),
  "",
  IF(
    S5 = 1, 'Person 2 Calculator'!$F$9,
    IF(
      OR(S5 = 2, S5 = 5, S5 = 6),
      S7 + S12 + S14 + S16 + S18 + S20 + S22,
      ""
    )
  )
)
</f>
        <v>41860.0251</v>
      </c>
      <c r="T24" s="112">
        <f>IF(
  OR(T5 = 0, T5 = 3, T5 = 4, T5 = 7),
  "",
  IF(
    T5 = 1, 'Person 2 Calculator'!$F$9,
    IF(
      OR(T5 = 2, T5 = 5, T5 = 6),
      T7 + T12 + T14 + T16 + T18 + T20 + T22,
      ""
    )
  )
)
</f>
        <v>42657.46211</v>
      </c>
      <c r="U24" s="112">
        <f>IF(
  OR(U5 = 0, U5 = 3, U5 = 4, U5 = 7),
  "",
  IF(
    U5 = 1, 'Person 2 Calculator'!$F$9,
    IF(
      OR(U5 = 2, U5 = 5, U5 = 6),
      U7 + U12 + U14 + U16 + U18 + U20 + U22,
      ""
    )
  )
)
</f>
        <v>43486.79659</v>
      </c>
      <c r="V24" s="112">
        <f>IF(
  OR(V5 = 0, V5 = 3, V5 = 4, V5 = 7),
  "",
  IF(
    V5 = 1, 'Person 2 Calculator'!$F$9,
    IF(
      OR(V5 = 2, V5 = 5, V5 = 6),
      V7 + V12 + V14 + V16 + V18 + V20 + V22,
      ""
    )
  )
)
</f>
        <v>44349.30446</v>
      </c>
      <c r="W24" s="112">
        <f>IF(
  OR(W5 = 0, W5 = 3, W5 = 4, W5 = 7),
  "",
  IF(
    W5 = 1, 'Person 2 Calculator'!$F$9,
    IF(
      OR(W5 = 2, W5 = 5, W5 = 6),
      W7 + W12 + W14 + W16 + W18 + W20 + W22,
      ""
    )
  )
)
</f>
        <v>45246.31263</v>
      </c>
      <c r="X24" s="112">
        <f>IF(
  OR(X5 = 0, X5 = 3, X5 = 4, X5 = 7),
  "",
  IF(
    X5 = 1, 'Person 2 Calculator'!$F$9,
    IF(
      OR(X5 = 2, X5 = 5, X5 = 6),
      X7 + X12 + X14 + X16 + X18 + X20 + X22,
      ""
    )
  )
)
</f>
        <v>46179.20114</v>
      </c>
      <c r="Y24" s="112">
        <f>IF(
  OR(Y5 = 0, Y5 = 3, Y5 = 4, Y5 = 7),
  "",
  IF(
    Y5 = 1, 'Person 2 Calculator'!$F$9,
    IF(
      OR(Y5 = 2, Y5 = 5, Y5 = 6),
      Y7 + Y12 + Y14 + Y16 + Y18 + Y20 + Y22,
      ""
    )
  )
)
</f>
        <v>47149.40518</v>
      </c>
      <c r="Z24" s="112">
        <f>IF(
  OR(Z5 = 0, Z5 = 3, Z5 = 4, Z5 = 7),
  "",
  IF(
    Z5 = 1, 'Person 2 Calculator'!$F$9,
    IF(
      OR(Z5 = 2, Z5 = 5, Z5 = 6),
      Z7 + Z12 + Z14 + Z16 + Z18 + Z20 + Z22,
      ""
    )
  )
)
</f>
        <v>48158.41739</v>
      </c>
      <c r="AA24" s="112">
        <f>IF(
  OR(AA5 = 0, AA5 = 3, AA5 = 4, AA5 = 7),
  "",
  IF(
    AA5 = 1, 'Person 2 Calculator'!$F$9,
    IF(
      OR(AA5 = 2, AA5 = 5, AA5 = 6),
      AA7 + AA12 + AA14 + AA16 + AA18 + AA20 + AA22,
      ""
    )
  )
)
</f>
        <v>49207.79009</v>
      </c>
      <c r="AB24" s="112">
        <f>IF(
  OR(AB5 = 0, AB5 = 3, AB5 = 4, AB5 = 7),
  "",
  IF(
    AB5 = 1, 'Person 2 Calculator'!$F$9,
    IF(
      OR(AB5 = 2, AB5 = 5, AB5 = 6),
      AB7 + AB12 + AB14 + AB16 + AB18 + AB20 + AB22,
      ""
    )
  )
)
</f>
        <v>50299.13769</v>
      </c>
      <c r="AC24" s="112">
        <f>IF(
  OR(AC5 = 0, AC5 = 3, AC5 = 4, AC5 = 7),
  "",
  IF(
    AC5 = 1, 'Person 2 Calculator'!$F$9,
    IF(
      OR(AC5 = 2, AC5 = 5, AC5 = 6),
      AC7 + AC12 + AC14 + AC16 + AC18 + AC20 + AC22,
      ""
    )
  )
)
</f>
        <v>51434.1392</v>
      </c>
      <c r="AD24" s="112">
        <f>IF(
  OR(AD5 = 0, AD5 = 3, AD5 = 4, AD5 = 7),
  "",
  IF(
    AD5 = 1, 'Person 2 Calculator'!$F$9,
    IF(
      OR(AD5 = 2, AD5 = 5, AD5 = 6),
      AD7 + AD12 + AD14 + AD16 + AD18 + AD20 + AD22,
      ""
    )
  )
)
</f>
        <v>52614.54077</v>
      </c>
      <c r="AE24" s="112">
        <f>IF(
  OR(AE5 = 0, AE5 = 3, AE5 = 4, AE5 = 7),
  "",
  IF(
    AE5 = 1, 'Person 2 Calculator'!$F$9,
    IF(
      OR(AE5 = 2, AE5 = 5, AE5 = 6),
      AE7 + AE12 + AE14 + AE16 + AE18 + AE20 + AE22,
      ""
    )
  )
)
</f>
        <v>53842.1584</v>
      </c>
      <c r="AF24" s="112">
        <f>IF(
  OR(AF5 = 0, AF5 = 3, AF5 = 4, AF5 = 7),
  "",
  IF(
    AF5 = 1, 'Person 2 Calculator'!$F$9,
    IF(
      OR(AF5 = 2, AF5 = 5, AF5 = 6),
      AF7 + AF12 + AF14 + AF16 + AF18 + AF20 + AF22,
      ""
    )
  )
)
</f>
        <v>55118.88073</v>
      </c>
      <c r="AG24" s="112">
        <f>IF(
  OR(AG5 = 0, AG5 = 3, AG5 = 4, AG5 = 7),
  "",
  IF(
    AG5 = 1, 'Person 2 Calculator'!$F$9,
    IF(
      OR(AG5 = 2, AG5 = 5, AG5 = 6),
      AG7 + AG12 + AG14 + AG16 + AG18 + AG20 + AG22,
      ""
    )
  )
)
</f>
        <v>56446.67196</v>
      </c>
      <c r="AH24" s="112">
        <f>IF(
  OR(AH5 = 0, AH5 = 3, AH5 = 4, AH5 = 7),
  "",
  IF(
    AH5 = 1, 'Person 2 Calculator'!$F$9,
    IF(
      OR(AH5 = 2, AH5 = 5, AH5 = 6),
      AH7 + AH12 + AH14 + AH16 + AH18 + AH20 + AH22,
      ""
    )
  )
)
</f>
        <v>57827.57484</v>
      </c>
      <c r="AI24" s="112">
        <f>IF(
  OR(AI5 = 0, AI5 = 3, AI5 = 4, AI5 = 7),
  "",
  IF(
    AI5 = 1, 'Person 2 Calculator'!$F$9,
    IF(
      OR(AI5 = 2, AI5 = 5, AI5 = 6),
      AI7 + AI12 + AI14 + AI16 + AI18 + AI20 + AI22,
      ""
    )
  )
)
</f>
        <v>59263.71383</v>
      </c>
      <c r="AJ24" s="112">
        <f>IF(
  OR(AJ5 = 0, AJ5 = 3, AJ5 = 4, AJ5 = 7),
  "",
  IF(
    AJ5 = 1, 'Person 2 Calculator'!$F$9,
    IF(
      OR(AJ5 = 2, AJ5 = 5, AJ5 = 6),
      AJ7 + AJ12 + AJ14 + AJ16 + AJ18 + AJ20 + AJ22,
      ""
    )
  )
)
</f>
        <v>60757.29839</v>
      </c>
      <c r="AK24" s="112">
        <f>IF(
  OR(AK5 = 0, AK5 = 3, AK5 = 4, AK5 = 7),
  "",
  IF(
    AK5 = 1, 'Person 2 Calculator'!$F$9,
    IF(
      OR(AK5 = 2, AK5 = 5, AK5 = 6),
      AK7 + AK12 + AK14 + AK16 + AK18 + AK20 + AK22,
      ""
    )
  )
)
</f>
        <v>62310.62632</v>
      </c>
      <c r="AL24" s="112" t="str">
        <f>IF(
  OR(AL5 = 0, AL5 = 3, AL5 = 4, AL5 = 7),
  "",
  IF(
    AL5 = 1, 'Person 2 Calculator'!$F$9,
    IF(
      OR(AL5 = 2, AL5 = 5, AL5 = 6),
      AL7 + AL12 + AL14 + AL16 + AL18 + AL20 + AL22,
      ""
    )
  )
)
</f>
        <v/>
      </c>
      <c r="AM24" s="112" t="str">
        <f>IF(
  OR(AM5 = 0, AM5 = 3, AM5 = 4, AM5 = 7),
  "",
  IF(
    AM5 = 1, 'Person 2 Calculator'!$F$9,
    IF(
      OR(AM5 = 2, AM5 = 5, AM5 = 6),
      AM7 + AM12 + AM14 + AM16 + AM18 + AM20 + AM22,
      ""
    )
  )
)
</f>
        <v/>
      </c>
      <c r="AN24" s="112" t="str">
        <f>IF(
  OR(AN5 = 0, AN5 = 3, AN5 = 4, AN5 = 7),
  "",
  IF(
    AN5 = 1, 'Person 2 Calculator'!$F$9,
    IF(
      OR(AN5 = 2, AN5 = 5, AN5 = 6),
      AN7 + AN12 + AN14 + AN16 + AN18 + AN20 + AN22,
      ""
    )
  )
)
</f>
        <v/>
      </c>
      <c r="AO24" s="112" t="str">
        <f>IF(
  OR(AO5 = 0, AO5 = 3, AO5 = 4, AO5 = 7),
  "",
  IF(
    AO5 = 1, 'Person 2 Calculator'!$F$9,
    IF(
      OR(AO5 = 2, AO5 = 5, AO5 = 6),
      AO7 + AO12 + AO14 + AO16 + AO18 + AO20 + AO22,
      ""
    )
  )
)
</f>
        <v/>
      </c>
      <c r="AP24" s="112" t="str">
        <f>IF(
  OR(AP5 = 0, AP5 = 3, AP5 = 4, AP5 = 7),
  "",
  IF(
    AP5 = 1, 'Person 2 Calculator'!$F$9,
    IF(
      OR(AP5 = 2, AP5 = 5, AP5 = 6),
      AP7 + AP12 + AP14 + AP16 + AP18 + AP20 + AP22,
      ""
    )
  )
)
</f>
        <v/>
      </c>
      <c r="AQ24" s="112" t="str">
        <f>IF(
  OR(AQ5 = 0, AQ5 = 3, AQ5 = 4, AQ5 = 7),
  "",
  IF(
    AQ5 = 1, 'Person 2 Calculator'!$F$9,
    IF(
      OR(AQ5 = 2, AQ5 = 5, AQ5 = 6),
      AQ7 + AQ12 + AQ14 + AQ16 + AQ18 + AQ20 + AQ22,
      ""
    )
  )
)
</f>
        <v/>
      </c>
      <c r="AR24" s="112" t="str">
        <f>IF(
  OR(AR5 = 0, AR5 = 3, AR5 = 4, AR5 = 7),
  "",
  IF(
    AR5 = 1, 'Person 2 Calculator'!$F$9,
    IF(
      OR(AR5 = 2, AR5 = 5, AR5 = 6),
      AR7 + AR12 + AR14 + AR16 + AR18 + AR20 + AR22,
      ""
    )
  )
)
</f>
        <v/>
      </c>
      <c r="AS24" s="112" t="str">
        <f>IF(
  OR(AS5 = 0, AS5 = 3, AS5 = 4, AS5 = 7),
  "",
  IF(
    AS5 = 1, 'Person 2 Calculator'!$F$9,
    IF(
      OR(AS5 = 2, AS5 = 5, AS5 = 6),
      AS7 + AS12 + AS14 + AS16 + AS18 + AS20 + AS22,
      ""
    )
  )
)
</f>
        <v/>
      </c>
      <c r="AT24" s="112" t="str">
        <f>IF(
  OR(AT5 = 0, AT5 = 3, AT5 = 4, AT5 = 7),
  "",
  IF(
    AT5 = 1, 'Person 2 Calculator'!$F$9,
    IF(
      OR(AT5 = 2, AT5 = 5, AT5 = 6),
      AT7 + AT12 + AT14 + AT16 + AT18 + AT20 + AT22,
      ""
    )
  )
)
</f>
        <v/>
      </c>
      <c r="AU24" s="112" t="str">
        <f>IF(
  OR(AU5 = 0, AU5 = 3, AU5 = 4, AU5 = 7),
  "",
  IF(
    AU5 = 1, 'Person 2 Calculator'!$F$9,
    IF(
      OR(AU5 = 2, AU5 = 5, AU5 = 6),
      AU7 + AU12 + AU14 + AU16 + AU18 + AU20 + AU22,
      ""
    )
  )
)
</f>
        <v/>
      </c>
      <c r="AV24" s="112" t="str">
        <f>IF(
  OR(AV5 = 0, AV5 = 3, AV5 = 4, AV5 = 7),
  "",
  IF(
    AV5 = 1, 'Person 2 Calculator'!$F$9,
    IF(
      OR(AV5 = 2, AV5 = 5, AV5 = 6),
      AV7 + AV12 + AV14 + AV16 + AV18 + AV20 + AV22,
      ""
    )
  )
)
</f>
        <v/>
      </c>
      <c r="AW24" s="103"/>
    </row>
    <row r="25">
      <c r="A25" s="115" t="s">
        <v>73</v>
      </c>
      <c r="B25" s="92"/>
      <c r="C25" s="92"/>
      <c r="D25" s="110" t="str">
        <f t="shared" ref="D25:AV25" si="12">if(n(D24)&gt;0,D24/12,)</f>
        <v/>
      </c>
      <c r="E25" s="110" t="str">
        <f t="shared" si="12"/>
        <v/>
      </c>
      <c r="F25" s="110">
        <f t="shared" si="12"/>
        <v>1577.008333</v>
      </c>
      <c r="G25" s="110">
        <f t="shared" si="12"/>
        <v>1577.008333</v>
      </c>
      <c r="H25" s="110">
        <f t="shared" si="12"/>
        <v>1577.008333</v>
      </c>
      <c r="I25" s="110">
        <f t="shared" si="12"/>
        <v>1577.008333</v>
      </c>
      <c r="J25" s="110">
        <f t="shared" si="12"/>
        <v>1827.008333</v>
      </c>
      <c r="K25" s="110">
        <f t="shared" si="12"/>
        <v>1827.008333</v>
      </c>
      <c r="L25" s="110">
        <f t="shared" si="12"/>
        <v>1827.008333</v>
      </c>
      <c r="M25" s="110">
        <f t="shared" si="12"/>
        <v>1827.008333</v>
      </c>
      <c r="N25" s="110">
        <f t="shared" si="12"/>
        <v>1827.008333</v>
      </c>
      <c r="O25" s="110">
        <f t="shared" si="12"/>
        <v>1827.008333</v>
      </c>
      <c r="P25" s="110">
        <f t="shared" si="12"/>
        <v>3303.922069</v>
      </c>
      <c r="Q25" s="110">
        <f t="shared" si="12"/>
        <v>3362.998618</v>
      </c>
      <c r="R25" s="110">
        <f t="shared" si="12"/>
        <v>3424.438229</v>
      </c>
      <c r="S25" s="110">
        <f t="shared" si="12"/>
        <v>3488.335425</v>
      </c>
      <c r="T25" s="110">
        <f t="shared" si="12"/>
        <v>3554.788509</v>
      </c>
      <c r="U25" s="110">
        <f t="shared" si="12"/>
        <v>3623.899716</v>
      </c>
      <c r="V25" s="110">
        <f t="shared" si="12"/>
        <v>3695.775371</v>
      </c>
      <c r="W25" s="110">
        <f t="shared" si="12"/>
        <v>3770.526053</v>
      </c>
      <c r="X25" s="110">
        <f t="shared" si="12"/>
        <v>3848.266762</v>
      </c>
      <c r="Y25" s="110">
        <f t="shared" si="12"/>
        <v>3929.117099</v>
      </c>
      <c r="Z25" s="110">
        <f t="shared" si="12"/>
        <v>4013.201449</v>
      </c>
      <c r="AA25" s="110">
        <f t="shared" si="12"/>
        <v>4100.649174</v>
      </c>
      <c r="AB25" s="110">
        <f t="shared" si="12"/>
        <v>4191.594808</v>
      </c>
      <c r="AC25" s="110">
        <f t="shared" si="12"/>
        <v>4286.178267</v>
      </c>
      <c r="AD25" s="110">
        <f t="shared" si="12"/>
        <v>4384.545064</v>
      </c>
      <c r="AE25" s="110">
        <f t="shared" si="12"/>
        <v>4486.846533</v>
      </c>
      <c r="AF25" s="110">
        <f t="shared" si="12"/>
        <v>4593.240061</v>
      </c>
      <c r="AG25" s="110">
        <f t="shared" si="12"/>
        <v>4703.88933</v>
      </c>
      <c r="AH25" s="110">
        <f t="shared" si="12"/>
        <v>4818.96457</v>
      </c>
      <c r="AI25" s="110">
        <f t="shared" si="12"/>
        <v>4938.64282</v>
      </c>
      <c r="AJ25" s="110">
        <f t="shared" si="12"/>
        <v>5063.108199</v>
      </c>
      <c r="AK25" s="110">
        <f t="shared" si="12"/>
        <v>5192.552194</v>
      </c>
      <c r="AL25" s="110" t="str">
        <f t="shared" si="12"/>
        <v/>
      </c>
      <c r="AM25" s="110" t="str">
        <f t="shared" si="12"/>
        <v/>
      </c>
      <c r="AN25" s="110" t="str">
        <f t="shared" si="12"/>
        <v/>
      </c>
      <c r="AO25" s="110" t="str">
        <f t="shared" si="12"/>
        <v/>
      </c>
      <c r="AP25" s="110" t="str">
        <f t="shared" si="12"/>
        <v/>
      </c>
      <c r="AQ25" s="110" t="str">
        <f t="shared" si="12"/>
        <v/>
      </c>
      <c r="AR25" s="110" t="str">
        <f t="shared" si="12"/>
        <v/>
      </c>
      <c r="AS25" s="110" t="str">
        <f t="shared" si="12"/>
        <v/>
      </c>
      <c r="AT25" s="110" t="str">
        <f t="shared" si="12"/>
        <v/>
      </c>
      <c r="AU25" s="110" t="str">
        <f t="shared" si="12"/>
        <v/>
      </c>
      <c r="AV25" s="110" t="str">
        <f t="shared" si="12"/>
        <v/>
      </c>
      <c r="AW25" s="103"/>
    </row>
    <row r="26">
      <c r="A26" s="116" t="str">
        <f>concatenate("Target income with inflation of ",text('Person 1 Calculator'!F18,"0.0%"))</f>
        <v>Target income with inflation of 2.5%</v>
      </c>
      <c r="B26" s="92"/>
      <c r="C26" s="92"/>
      <c r="D26" s="110" t="str">
        <f>if(D5=0,, if( D5=1, D24,if(D5=5, D24,if(OR(D5=2,D5=6),C26*(1+'Person 2 Calculator'!$F$18),if(OR(D5=3,D5=4,D5=7),)))))</f>
        <v/>
      </c>
      <c r="E26" s="110" t="str">
        <f>if(E5=0,, if( E5=1, E24,if(E5=5, E24,if(OR(E5=2,E5=6),D26*(1+'Person 2 Calculator'!$F$18),if(OR(E5=3,E5=4,E5=7),)))))</f>
        <v/>
      </c>
      <c r="F26" s="110">
        <f>if(F5=0,, if( F5=1, F24,if(F5=5, F24,if(OR(F5=2,F5=6),E26*(1+'Person 2 Calculator'!$F$18),if(OR(F5=3,F5=4,F5=7),)))))</f>
        <v>18924.1</v>
      </c>
      <c r="G26" s="110">
        <f>if(G5=0,, if( G5=1, G24,if(G5=5, G24,if(OR(G5=2,G5=6),F26*(1+'Person 2 Calculator'!$F$18),if(OR(G5=3,G5=4,G5=7),)))))</f>
        <v>19397.2025</v>
      </c>
      <c r="H26" s="110">
        <f>if(H5=0,, if( H5=1, H24,if(H5=5, H24,if(OR(H5=2,H5=6),G26*(1+'Person 2 Calculator'!$F$18),if(OR(H5=3,H5=4,H5=7),)))))</f>
        <v>19882.13256</v>
      </c>
      <c r="I26" s="110">
        <f>if(I5=0,, if( I5=1, I24,if(I5=5, I24,if(OR(I5=2,I5=6),H26*(1+'Person 2 Calculator'!$F$18),if(OR(I5=3,I5=4,I5=7),)))))</f>
        <v>20379.18588</v>
      </c>
      <c r="J26" s="110">
        <f>if(J5=0,, if( J5=1, J24,if(J5=5, J24,if(OR(J5=2,J5=6),I26*(1+'Person 2 Calculator'!$F$18),if(OR(J5=3,J5=4,J5=7),)))))</f>
        <v>20888.66552</v>
      </c>
      <c r="K26" s="110">
        <f>if(K5=0,, if( K5=1, K24,if(K5=5, K24,if(OR(K5=2,K5=6),J26*(1+'Person 2 Calculator'!$F$18),if(OR(K5=3,K5=4,K5=7),)))))</f>
        <v>21410.88216</v>
      </c>
      <c r="L26" s="110">
        <f>if(L5=0,, if( L5=1, L24,if(L5=5, L24,if(OR(L5=2,L5=6),K26*(1+'Person 2 Calculator'!$F$18),if(OR(L5=3,L5=4,L5=7),)))))</f>
        <v>21946.15422</v>
      </c>
      <c r="M26" s="110">
        <f>if(M5=0,, if( M5=1, M24,if(M5=5, M24,if(OR(M5=2,M5=6),L26*(1+'Person 2 Calculator'!$F$18),if(OR(M5=3,M5=4,M5=7),)))))</f>
        <v>22494.80807</v>
      </c>
      <c r="N26" s="110">
        <f>if(N5=0,, if( N5=1, N24,if(N5=5, N24,if(OR(N5=2,N5=6),M26*(1+'Person 2 Calculator'!$F$18),if(OR(N5=3,N5=4,N5=7),)))))</f>
        <v>23057.17827</v>
      </c>
      <c r="O26" s="110">
        <f>if(O5=0,, if( O5=1, O24,if(O5=5, O24,if(OR(O5=2,O5=6),N26*(1+'Person 2 Calculator'!$F$18),if(OR(O5=3,O5=4,O5=7),)))))</f>
        <v>23633.60773</v>
      </c>
      <c r="P26" s="110">
        <f>if(P5=0,, if( P5=1, P24,if(P5=5, P24,if(OR(P5=2,P5=6),O26*(1+'Person 2 Calculator'!$F$18),if(OR(P5=3,P5=4,P5=7),)))))</f>
        <v>24224.44792</v>
      </c>
      <c r="Q26" s="110">
        <f>if(Q5=0,, if( Q5=1, Q24,if(Q5=5, Q24,if(OR(Q5=2,Q5=6),P26*(1+'Person 2 Calculator'!$F$18),if(OR(Q5=3,Q5=4,Q5=7),)))))</f>
        <v>24830.05912</v>
      </c>
      <c r="R26" s="110">
        <f>if(R5=0,, if( R5=1, R24,if(R5=5, R24,if(OR(R5=2,R5=6),Q26*(1+'Person 2 Calculator'!$F$18),if(OR(R5=3,R5=4,R5=7),)))))</f>
        <v>25450.8106</v>
      </c>
      <c r="S26" s="110">
        <f>if(S5=0,, if( S5=1, S24,if(S5=5, S24,if(OR(S5=2,S5=6),R26*(1+'Person 2 Calculator'!$F$18),if(OR(S5=3,S5=4,S5=7),)))))</f>
        <v>26087.08086</v>
      </c>
      <c r="T26" s="110">
        <f>if(T5=0,, if( T5=1, T24,if(T5=5, T24,if(OR(T5=2,T5=6),S26*(1+'Person 2 Calculator'!$F$18),if(OR(T5=3,T5=4,T5=7),)))))</f>
        <v>26739.25789</v>
      </c>
      <c r="U26" s="110">
        <f>if(U5=0,, if( U5=1, U24,if(U5=5, U24,if(OR(U5=2,U5=6),T26*(1+'Person 2 Calculator'!$F$18),if(OR(U5=3,U5=4,U5=7),)))))</f>
        <v>27407.73933</v>
      </c>
      <c r="V26" s="110">
        <f>if(V5=0,, if( V5=1, V24,if(V5=5, V24,if(OR(V5=2,V5=6),U26*(1+'Person 2 Calculator'!$F$18),if(OR(V5=3,V5=4,V5=7),)))))</f>
        <v>28092.93282</v>
      </c>
      <c r="W26" s="110">
        <f>if(W5=0,, if( W5=1, W24,if(W5=5, W24,if(OR(W5=2,W5=6),V26*(1+'Person 2 Calculator'!$F$18),if(OR(W5=3,W5=4,W5=7),)))))</f>
        <v>28795.25614</v>
      </c>
      <c r="X26" s="110">
        <f>if(X5=0,, if( X5=1, X24,if(X5=5, X24,if(OR(X5=2,X5=6),W26*(1+'Person 2 Calculator'!$F$18),if(OR(X5=3,X5=4,X5=7),)))))</f>
        <v>29515.13754</v>
      </c>
      <c r="Y26" s="110">
        <f>if(Y5=0,, if( Y5=1, Y24,if(Y5=5, Y24,if(OR(Y5=2,Y5=6),X26*(1+'Person 2 Calculator'!$F$18),if(OR(Y5=3,Y5=4,Y5=7),)))))</f>
        <v>30253.01598</v>
      </c>
      <c r="Z26" s="110">
        <f>if(Z5=0,, if( Z5=1, Z24,if(Z5=5, Z24,if(OR(Z5=2,Z5=6),Y26*(1+'Person 2 Calculator'!$F$18),if(OR(Z5=3,Z5=4,Z5=7),)))))</f>
        <v>31009.34138</v>
      </c>
      <c r="AA26" s="110">
        <f>if(AA5=0,, if( AA5=1, AA24,if(AA5=5, AA24,if(OR(AA5=2,AA5=6),Z26*(1+'Person 2 Calculator'!$F$18),if(OR(AA5=3,AA5=4,AA5=7),)))))</f>
        <v>31784.57491</v>
      </c>
      <c r="AB26" s="110">
        <f>if(AB5=0,, if( AB5=1, AB24,if(AB5=5, AB24,if(OR(AB5=2,AB5=6),AA26*(1+'Person 2 Calculator'!$F$18),if(OR(AB5=3,AB5=4,AB5=7),)))))</f>
        <v>32579.18928</v>
      </c>
      <c r="AC26" s="110">
        <f>if(AC5=0,, if( AC5=1, AC24,if(AC5=5, AC24,if(OR(AC5=2,AC5=6),AB26*(1+'Person 2 Calculator'!$F$18),if(OR(AC5=3,AC5=4,AC5=7),)))))</f>
        <v>33393.66902</v>
      </c>
      <c r="AD26" s="110">
        <f>if(AD5=0,, if( AD5=1, AD24,if(AD5=5, AD24,if(OR(AD5=2,AD5=6),AC26*(1+'Person 2 Calculator'!$F$18),if(OR(AD5=3,AD5=4,AD5=7),)))))</f>
        <v>34228.51074</v>
      </c>
      <c r="AE26" s="110">
        <f>if(AE5=0,, if( AE5=1, AE24,if(AE5=5, AE24,if(OR(AE5=2,AE5=6),AD26*(1+'Person 2 Calculator'!$F$18),if(OR(AE5=3,AE5=4,AE5=7),)))))</f>
        <v>35084.22351</v>
      </c>
      <c r="AF26" s="110">
        <f>if(AF5=0,, if( AF5=1, AF24,if(AF5=5, AF24,if(OR(AF5=2,AF5=6),AE26*(1+'Person 2 Calculator'!$F$18),if(OR(AF5=3,AF5=4,AF5=7),)))))</f>
        <v>35961.3291</v>
      </c>
      <c r="AG26" s="110">
        <f>if(AG5=0,, if( AG5=1, AG24,if(AG5=5, AG24,if(OR(AG5=2,AG5=6),AF26*(1+'Person 2 Calculator'!$F$18),if(OR(AG5=3,AG5=4,AG5=7),)))))</f>
        <v>36860.36233</v>
      </c>
      <c r="AH26" s="110">
        <f>if(AH5=0,, if( AH5=1, AH24,if(AH5=5, AH24,if(OR(AH5=2,AH5=6),AG26*(1+'Person 2 Calculator'!$F$18),if(OR(AH5=3,AH5=4,AH5=7),)))))</f>
        <v>37781.87138</v>
      </c>
      <c r="AI26" s="110">
        <f>if(AI5=0,, if( AI5=1, AI24,if(AI5=5, AI24,if(OR(AI5=2,AI5=6),AH26*(1+'Person 2 Calculator'!$F$18),if(OR(AI5=3,AI5=4,AI5=7),)))))</f>
        <v>38726.41817</v>
      </c>
      <c r="AJ26" s="110">
        <f>if(AJ5=0,, if( AJ5=1, AJ24,if(AJ5=5, AJ24,if(OR(AJ5=2,AJ5=6),AI26*(1+'Person 2 Calculator'!$F$18),if(OR(AJ5=3,AJ5=4,AJ5=7),)))))</f>
        <v>39694.57862</v>
      </c>
      <c r="AK26" s="110">
        <f>if(AK5=0,, if( AK5=1, AK24,if(AK5=5, AK24,if(OR(AK5=2,AK5=6),AJ26*(1+'Person 2 Calculator'!$F$18),if(OR(AK5=3,AK5=4,AK5=7),)))))</f>
        <v>40686.94309</v>
      </c>
      <c r="AL26" s="110" t="str">
        <f>if(AL5=0,, if( AL5=1, AL24,if(AL5=5, AL24,if(OR(AL5=2,AL5=6),AK26*(1+'Person 2 Calculator'!$F$18),if(OR(AL5=3,AL5=4,AL5=7),)))))</f>
        <v/>
      </c>
      <c r="AM26" s="110" t="str">
        <f>if(AM5=0,, if( AM5=1, AM24,if(AM5=5, AM24,if(OR(AM5=2,AM5=6),AL26*(1+'Person 2 Calculator'!$F$18),if(OR(AM5=3,AM5=4,AM5=7),)))))</f>
        <v/>
      </c>
      <c r="AN26" s="110" t="str">
        <f>if(AN5=0,, if( AN5=1, AN24,if(AN5=5, AN24,if(OR(AN5=2,AN5=6),AM26*(1+'Person 2 Calculator'!$F$18),if(OR(AN5=3,AN5=4,AN5=7),)))))</f>
        <v/>
      </c>
      <c r="AO26" s="110" t="str">
        <f>if(AO5=0,, if( AO5=1, AO24,if(AO5=5, AO24,if(OR(AO5=2,AO5=6),AN26*(1+'Person 2 Calculator'!$F$18),if(OR(AO5=3,AO5=4,AO5=7),)))))</f>
        <v/>
      </c>
      <c r="AP26" s="110" t="str">
        <f>if(AP5=0,, if( AP5=1, AP24,if(AP5=5, AP24,if(OR(AP5=2,AP5=6),AO26*(1+'Person 2 Calculator'!$F$18),if(OR(AP5=3,AP5=4,AP5=7),)))))</f>
        <v/>
      </c>
      <c r="AQ26" s="110" t="str">
        <f>if(AQ5=0,, if( AQ5=1, AQ24,if(AQ5=5, AQ24,if(OR(AQ5=2,AQ5=6),AP26*(1+'Person 2 Calculator'!$F$18),if(OR(AQ5=3,AQ5=4,AQ5=7),)))))</f>
        <v/>
      </c>
      <c r="AR26" s="110" t="str">
        <f>if(AR5=0,, if( AR5=1, AR24,if(AR5=5, AR24,if(OR(AR5=2,AR5=6),AQ26*(1+'Person 2 Calculator'!$F$18),if(OR(AR5=3,AR5=4,AR5=7),)))))</f>
        <v/>
      </c>
      <c r="AS26" s="110" t="str">
        <f>if(AS5=0,, if( AS5=1, AS24,if(AS5=5, AS24,if(OR(AS5=2,AS5=6),AR26*(1+'Person 2 Calculator'!$F$18),if(OR(AS5=3,AS5=4,AS5=7),)))))</f>
        <v/>
      </c>
      <c r="AT26" s="110" t="str">
        <f>if(AT5=0,, if( AT5=1, AT24,if(AT5=5, AT24,if(OR(AT5=2,AT5=6),AS26*(1+'Person 2 Calculator'!$F$18),if(OR(AT5=3,AT5=4,AT5=7),)))))</f>
        <v/>
      </c>
      <c r="AU26" s="110" t="str">
        <f>if(AU5=0,, if( AU5=1, AU24,if(AU5=5, AU24,if(OR(AU5=2,AU5=6),AT26*(1+'Person 2 Calculator'!$F$18),if(OR(AU5=3,AU5=4,AU5=7),)))))</f>
        <v/>
      </c>
      <c r="AV26" s="110" t="str">
        <f>if(AV5=0,, if( AV5=1, AV24,if(AV5=5, AV24,if(OR(AV5=2,AV5=6),AU26*(1+'Person 2 Calculator'!$F$18),if(OR(AV5=3,AV5=4,AV5=7),)))))</f>
        <v/>
      </c>
      <c r="AW26" s="103"/>
    </row>
    <row r="27">
      <c r="A27" s="117" t="s">
        <v>74</v>
      </c>
      <c r="B27" s="118"/>
      <c r="C27" s="118"/>
      <c r="D27" s="119" t="str">
        <f t="shared" ref="D27:AV27" si="13">if(AND(D24&gt;0, D26&gt;0),D24/D26,)</f>
        <v/>
      </c>
      <c r="E27" s="119" t="str">
        <f t="shared" si="13"/>
        <v/>
      </c>
      <c r="F27" s="119">
        <f t="shared" si="13"/>
        <v>1</v>
      </c>
      <c r="G27" s="119">
        <f t="shared" si="13"/>
        <v>0.9756097561</v>
      </c>
      <c r="H27" s="119">
        <f t="shared" si="13"/>
        <v>0.9518143962</v>
      </c>
      <c r="I27" s="119">
        <f t="shared" si="13"/>
        <v>0.9285994109</v>
      </c>
      <c r="J27" s="119">
        <f t="shared" si="13"/>
        <v>1.049569202</v>
      </c>
      <c r="K27" s="119">
        <f t="shared" si="13"/>
        <v>1.023969953</v>
      </c>
      <c r="L27" s="119">
        <f t="shared" si="13"/>
        <v>0.9989950761</v>
      </c>
      <c r="M27" s="119">
        <f t="shared" si="13"/>
        <v>0.9746293425</v>
      </c>
      <c r="N27" s="119">
        <f t="shared" si="13"/>
        <v>0.9508578951</v>
      </c>
      <c r="O27" s="119">
        <f t="shared" si="13"/>
        <v>0.9276662391</v>
      </c>
      <c r="P27" s="119">
        <f t="shared" si="13"/>
        <v>1.636655042</v>
      </c>
      <c r="Q27" s="119">
        <f t="shared" si="13"/>
        <v>1.625287448</v>
      </c>
      <c r="R27" s="119">
        <f t="shared" si="13"/>
        <v>1.614614929</v>
      </c>
      <c r="S27" s="119">
        <f t="shared" si="13"/>
        <v>1.604626647</v>
      </c>
      <c r="T27" s="119">
        <f t="shared" si="13"/>
        <v>1.595312117</v>
      </c>
      <c r="U27" s="119">
        <f t="shared" si="13"/>
        <v>1.5866612</v>
      </c>
      <c r="V27" s="119">
        <f t="shared" si="13"/>
        <v>1.578664098</v>
      </c>
      <c r="W27" s="119">
        <f t="shared" si="13"/>
        <v>1.571311344</v>
      </c>
      <c r="X27" s="119">
        <f t="shared" si="13"/>
        <v>1.564593798</v>
      </c>
      <c r="Y27" s="119">
        <f t="shared" si="13"/>
        <v>1.558502637</v>
      </c>
      <c r="Z27" s="119">
        <f t="shared" si="13"/>
        <v>1.553029353</v>
      </c>
      <c r="AA27" s="119">
        <f t="shared" si="13"/>
        <v>1.548165745</v>
      </c>
      <c r="AB27" s="119">
        <f t="shared" si="13"/>
        <v>1.543903909</v>
      </c>
      <c r="AC27" s="119">
        <f t="shared" si="13"/>
        <v>1.54023624</v>
      </c>
      <c r="AD27" s="119">
        <f t="shared" si="13"/>
        <v>1.537155419</v>
      </c>
      <c r="AE27" s="119">
        <f t="shared" si="13"/>
        <v>1.534654412</v>
      </c>
      <c r="AF27" s="119">
        <f t="shared" si="13"/>
        <v>1.532726462</v>
      </c>
      <c r="AG27" s="119">
        <f t="shared" si="13"/>
        <v>1.531365087</v>
      </c>
      <c r="AH27" s="119">
        <f t="shared" si="13"/>
        <v>1.53056407</v>
      </c>
      <c r="AI27" s="119">
        <f t="shared" si="13"/>
        <v>1.530317459</v>
      </c>
      <c r="AJ27" s="119">
        <f t="shared" si="13"/>
        <v>1.530619558</v>
      </c>
      <c r="AK27" s="119">
        <f t="shared" si="13"/>
        <v>1.531464927</v>
      </c>
      <c r="AL27" s="119" t="str">
        <f t="shared" si="13"/>
        <v/>
      </c>
      <c r="AM27" s="119" t="str">
        <f t="shared" si="13"/>
        <v/>
      </c>
      <c r="AN27" s="119" t="str">
        <f t="shared" si="13"/>
        <v/>
      </c>
      <c r="AO27" s="119" t="str">
        <f t="shared" si="13"/>
        <v/>
      </c>
      <c r="AP27" s="119" t="str">
        <f t="shared" si="13"/>
        <v/>
      </c>
      <c r="AQ27" s="119" t="str">
        <f t="shared" si="13"/>
        <v/>
      </c>
      <c r="AR27" s="119" t="str">
        <f t="shared" si="13"/>
        <v/>
      </c>
      <c r="AS27" s="119" t="str">
        <f t="shared" si="13"/>
        <v/>
      </c>
      <c r="AT27" s="119" t="str">
        <f t="shared" si="13"/>
        <v/>
      </c>
      <c r="AU27" s="119" t="str">
        <f t="shared" si="13"/>
        <v/>
      </c>
      <c r="AV27" s="119" t="str">
        <f t="shared" si="13"/>
        <v/>
      </c>
      <c r="AW27" s="103"/>
    </row>
    <row r="28">
      <c r="A28" s="120" t="s">
        <v>75</v>
      </c>
      <c r="B28" s="118"/>
      <c r="C28" s="118"/>
      <c r="D28" s="121" t="str">
        <f t="shared" ref="D28:AV28" si="14">if(D6&gt;D7,D7/D6,)</f>
        <v/>
      </c>
      <c r="E28" s="121" t="str">
        <f t="shared" si="14"/>
        <v/>
      </c>
      <c r="F28" s="121" t="str">
        <f t="shared" si="14"/>
        <v/>
      </c>
      <c r="G28" s="121" t="str">
        <f t="shared" si="14"/>
        <v/>
      </c>
      <c r="H28" s="121" t="str">
        <f t="shared" si="14"/>
        <v/>
      </c>
      <c r="I28" s="121" t="str">
        <f t="shared" si="14"/>
        <v/>
      </c>
      <c r="J28" s="121" t="str">
        <f t="shared" si="14"/>
        <v/>
      </c>
      <c r="K28" s="121" t="str">
        <f t="shared" si="14"/>
        <v/>
      </c>
      <c r="L28" s="121" t="str">
        <f t="shared" si="14"/>
        <v/>
      </c>
      <c r="M28" s="121" t="str">
        <f t="shared" si="14"/>
        <v/>
      </c>
      <c r="N28" s="121" t="str">
        <f t="shared" si="14"/>
        <v/>
      </c>
      <c r="O28" s="121" t="str">
        <f t="shared" si="14"/>
        <v/>
      </c>
      <c r="P28" s="121" t="str">
        <f t="shared" si="14"/>
        <v/>
      </c>
      <c r="Q28" s="121" t="str">
        <f t="shared" si="14"/>
        <v/>
      </c>
      <c r="R28" s="121" t="str">
        <f t="shared" si="14"/>
        <v/>
      </c>
      <c r="S28" s="121" t="str">
        <f t="shared" si="14"/>
        <v/>
      </c>
      <c r="T28" s="121" t="str">
        <f t="shared" si="14"/>
        <v/>
      </c>
      <c r="U28" s="121" t="str">
        <f t="shared" si="14"/>
        <v/>
      </c>
      <c r="V28" s="121" t="str">
        <f t="shared" si="14"/>
        <v/>
      </c>
      <c r="W28" s="121" t="str">
        <f t="shared" si="14"/>
        <v/>
      </c>
      <c r="X28" s="121" t="str">
        <f t="shared" si="14"/>
        <v/>
      </c>
      <c r="Y28" s="121" t="str">
        <f t="shared" si="14"/>
        <v/>
      </c>
      <c r="Z28" s="121" t="str">
        <f t="shared" si="14"/>
        <v/>
      </c>
      <c r="AA28" s="121" t="str">
        <f t="shared" si="14"/>
        <v/>
      </c>
      <c r="AB28" s="121" t="str">
        <f t="shared" si="14"/>
        <v/>
      </c>
      <c r="AC28" s="121" t="str">
        <f t="shared" si="14"/>
        <v/>
      </c>
      <c r="AD28" s="121" t="str">
        <f t="shared" si="14"/>
        <v/>
      </c>
      <c r="AE28" s="121" t="str">
        <f t="shared" si="14"/>
        <v/>
      </c>
      <c r="AF28" s="121" t="str">
        <f t="shared" si="14"/>
        <v/>
      </c>
      <c r="AG28" s="121" t="str">
        <f t="shared" si="14"/>
        <v/>
      </c>
      <c r="AH28" s="121" t="str">
        <f t="shared" si="14"/>
        <v/>
      </c>
      <c r="AI28" s="121" t="str">
        <f t="shared" si="14"/>
        <v/>
      </c>
      <c r="AJ28" s="121" t="str">
        <f t="shared" si="14"/>
        <v/>
      </c>
      <c r="AK28" s="121" t="str">
        <f t="shared" si="14"/>
        <v/>
      </c>
      <c r="AL28" s="121" t="str">
        <f t="shared" si="14"/>
        <v/>
      </c>
      <c r="AM28" s="121" t="str">
        <f t="shared" si="14"/>
        <v/>
      </c>
      <c r="AN28" s="121" t="str">
        <f t="shared" si="14"/>
        <v/>
      </c>
      <c r="AO28" s="121" t="str">
        <f t="shared" si="14"/>
        <v/>
      </c>
      <c r="AP28" s="121" t="str">
        <f t="shared" si="14"/>
        <v/>
      </c>
      <c r="AQ28" s="121" t="str">
        <f t="shared" si="14"/>
        <v/>
      </c>
      <c r="AR28" s="121" t="str">
        <f t="shared" si="14"/>
        <v/>
      </c>
      <c r="AS28" s="121" t="str">
        <f t="shared" si="14"/>
        <v/>
      </c>
      <c r="AT28" s="121" t="str">
        <f t="shared" si="14"/>
        <v/>
      </c>
      <c r="AU28" s="121" t="str">
        <f t="shared" si="14"/>
        <v/>
      </c>
      <c r="AV28" s="121" t="str">
        <f t="shared" si="14"/>
        <v/>
      </c>
      <c r="AW28" s="103"/>
    </row>
    <row r="29">
      <c r="A29" s="113" t="s">
        <v>76</v>
      </c>
      <c r="B29" s="92"/>
      <c r="C29" s="92"/>
      <c r="D29" s="110">
        <f t="shared" ref="D29:AV29" si="15">if(D24=0,,(if(AND(D24&gt;0,D10&lt;268275), D8+D14+D16+D18+D20+D22,if(D10&gt;268275,D8+D9+D14+D16+D18+D20+D22))))</f>
        <v>0</v>
      </c>
      <c r="E29" s="110">
        <f t="shared" si="15"/>
        <v>0</v>
      </c>
      <c r="F29" s="110">
        <f t="shared" si="15"/>
        <v>11837.49</v>
      </c>
      <c r="G29" s="110">
        <f t="shared" si="15"/>
        <v>11837.49</v>
      </c>
      <c r="H29" s="110">
        <f t="shared" si="15"/>
        <v>11837.49</v>
      </c>
      <c r="I29" s="110">
        <f t="shared" si="15"/>
        <v>11837.49</v>
      </c>
      <c r="J29" s="110">
        <f t="shared" si="15"/>
        <v>14837.49</v>
      </c>
      <c r="K29" s="110">
        <f t="shared" si="15"/>
        <v>14837.49</v>
      </c>
      <c r="L29" s="110">
        <f t="shared" si="15"/>
        <v>14837.49</v>
      </c>
      <c r="M29" s="110">
        <f t="shared" si="15"/>
        <v>14837.49</v>
      </c>
      <c r="N29" s="110">
        <f t="shared" si="15"/>
        <v>14837.49</v>
      </c>
      <c r="O29" s="110">
        <f t="shared" si="15"/>
        <v>14837.49</v>
      </c>
      <c r="P29" s="110">
        <f t="shared" si="15"/>
        <v>32560.45482</v>
      </c>
      <c r="Q29" s="110">
        <f t="shared" si="15"/>
        <v>33269.37342</v>
      </c>
      <c r="R29" s="110">
        <f t="shared" si="15"/>
        <v>34006.64875</v>
      </c>
      <c r="S29" s="110">
        <f t="shared" si="15"/>
        <v>34773.4151</v>
      </c>
      <c r="T29" s="110">
        <f t="shared" si="15"/>
        <v>35570.85211</v>
      </c>
      <c r="U29" s="110">
        <f t="shared" si="15"/>
        <v>36400.18659</v>
      </c>
      <c r="V29" s="110">
        <f t="shared" si="15"/>
        <v>37262.69446</v>
      </c>
      <c r="W29" s="110">
        <f t="shared" si="15"/>
        <v>38159.70263</v>
      </c>
      <c r="X29" s="110">
        <f t="shared" si="15"/>
        <v>39092.59114</v>
      </c>
      <c r="Y29" s="110">
        <f t="shared" si="15"/>
        <v>40062.79518</v>
      </c>
      <c r="Z29" s="110">
        <f t="shared" si="15"/>
        <v>41071.80739</v>
      </c>
      <c r="AA29" s="110">
        <f t="shared" si="15"/>
        <v>42121.18009</v>
      </c>
      <c r="AB29" s="110">
        <f t="shared" si="15"/>
        <v>43212.52769</v>
      </c>
      <c r="AC29" s="110">
        <f t="shared" si="15"/>
        <v>44347.5292</v>
      </c>
      <c r="AD29" s="110">
        <f t="shared" si="15"/>
        <v>45527.93077</v>
      </c>
      <c r="AE29" s="110">
        <f t="shared" si="15"/>
        <v>46755.5484</v>
      </c>
      <c r="AF29" s="110">
        <f t="shared" si="15"/>
        <v>48032.27073</v>
      </c>
      <c r="AG29" s="110">
        <f t="shared" si="15"/>
        <v>49360.06196</v>
      </c>
      <c r="AH29" s="110">
        <f t="shared" si="15"/>
        <v>50740.96484</v>
      </c>
      <c r="AI29" s="110">
        <f t="shared" si="15"/>
        <v>52177.10383</v>
      </c>
      <c r="AJ29" s="110">
        <f t="shared" si="15"/>
        <v>53670.68839</v>
      </c>
      <c r="AK29" s="110">
        <f t="shared" si="15"/>
        <v>55224.01632</v>
      </c>
      <c r="AL29" s="110">
        <f t="shared" si="15"/>
        <v>0</v>
      </c>
      <c r="AM29" s="110">
        <f t="shared" si="15"/>
        <v>0</v>
      </c>
      <c r="AN29" s="110">
        <f t="shared" si="15"/>
        <v>0</v>
      </c>
      <c r="AO29" s="110">
        <f t="shared" si="15"/>
        <v>0</v>
      </c>
      <c r="AP29" s="110">
        <f t="shared" si="15"/>
        <v>0</v>
      </c>
      <c r="AQ29" s="110">
        <f t="shared" si="15"/>
        <v>0</v>
      </c>
      <c r="AR29" s="110">
        <f t="shared" si="15"/>
        <v>0</v>
      </c>
      <c r="AS29" s="110">
        <f t="shared" si="15"/>
        <v>0</v>
      </c>
      <c r="AT29" s="110">
        <f t="shared" si="15"/>
        <v>0</v>
      </c>
      <c r="AU29" s="110">
        <f t="shared" si="15"/>
        <v>0</v>
      </c>
      <c r="AV29" s="110">
        <f t="shared" si="15"/>
        <v>0</v>
      </c>
      <c r="AW29" s="103"/>
    </row>
    <row r="30">
      <c r="A30" s="116" t="s">
        <v>77</v>
      </c>
      <c r="B30" s="92"/>
      <c r="C30" s="92"/>
      <c r="D30" s="122" t="str">
        <f t="shared" ref="D30:AV30" si="16">LET(
    Income, D29,
    PA_Limit, 12570,
    BR_Limit, 50270,
    HR_Limit, 125140,
    Taper_Start, 100000,
    Tapered_PA, MAX(0, PA_Limit - MAX(0, (Income - Taper_Start) / 2)),
    TaxableIncome, MAX(0, Income - Tapered_PA),
    BasicRateTax, MAX(0, MIN(TaxableIncome, BR_Limit - PA_Limit)) * 0.2,
    HigherRateBandWidth, HR_Limit - BR_Limit,
    HigherRateTax, MAX(0, MIN(TaxableIncome - (BR_Limit - PA_Limit), HigherRateBandWidth)) * 0.4,
    AdditionalRateTax, MAX(0, TaxableIncome - (HR_Limit - PA_Limit)) * 0.45,
    TotalTax, BasicRateTax + HigherRateTax + AdditionalRateTax,
    IF(OR(ISBLANK(Income), Income = 0), "", TotalTax)
)</f>
        <v/>
      </c>
      <c r="E30" s="122" t="str">
        <f t="shared" si="16"/>
        <v/>
      </c>
      <c r="F30" s="122">
        <f t="shared" si="16"/>
        <v>0</v>
      </c>
      <c r="G30" s="122">
        <f t="shared" si="16"/>
        <v>0</v>
      </c>
      <c r="H30" s="122">
        <f t="shared" si="16"/>
        <v>0</v>
      </c>
      <c r="I30" s="122">
        <f t="shared" si="16"/>
        <v>0</v>
      </c>
      <c r="J30" s="122">
        <f t="shared" si="16"/>
        <v>453.498</v>
      </c>
      <c r="K30" s="122">
        <f t="shared" si="16"/>
        <v>453.498</v>
      </c>
      <c r="L30" s="122">
        <f t="shared" si="16"/>
        <v>453.498</v>
      </c>
      <c r="M30" s="122">
        <f t="shared" si="16"/>
        <v>453.498</v>
      </c>
      <c r="N30" s="122">
        <f t="shared" si="16"/>
        <v>453.498</v>
      </c>
      <c r="O30" s="122">
        <f t="shared" si="16"/>
        <v>453.498</v>
      </c>
      <c r="P30" s="122">
        <f t="shared" si="16"/>
        <v>3998.090965</v>
      </c>
      <c r="Q30" s="122">
        <f t="shared" si="16"/>
        <v>4139.874683</v>
      </c>
      <c r="R30" s="122">
        <f t="shared" si="16"/>
        <v>4287.329751</v>
      </c>
      <c r="S30" s="122">
        <f t="shared" si="16"/>
        <v>4440.683021</v>
      </c>
      <c r="T30" s="122">
        <f t="shared" si="16"/>
        <v>4600.170421</v>
      </c>
      <c r="U30" s="122">
        <f t="shared" si="16"/>
        <v>4766.037318</v>
      </c>
      <c r="V30" s="122">
        <f t="shared" si="16"/>
        <v>4938.538891</v>
      </c>
      <c r="W30" s="122">
        <f t="shared" si="16"/>
        <v>5117.940527</v>
      </c>
      <c r="X30" s="122">
        <f t="shared" si="16"/>
        <v>5304.518228</v>
      </c>
      <c r="Y30" s="122">
        <f t="shared" si="16"/>
        <v>5498.559037</v>
      </c>
      <c r="Z30" s="122">
        <f t="shared" si="16"/>
        <v>5700.361478</v>
      </c>
      <c r="AA30" s="122">
        <f t="shared" si="16"/>
        <v>5910.236017</v>
      </c>
      <c r="AB30" s="122">
        <f t="shared" si="16"/>
        <v>6128.505538</v>
      </c>
      <c r="AC30" s="122">
        <f t="shared" si="16"/>
        <v>6355.50584</v>
      </c>
      <c r="AD30" s="122">
        <f t="shared" si="16"/>
        <v>6591.586153</v>
      </c>
      <c r="AE30" s="122">
        <f t="shared" si="16"/>
        <v>6837.109679</v>
      </c>
      <c r="AF30" s="122">
        <f t="shared" si="16"/>
        <v>7092.454147</v>
      </c>
      <c r="AG30" s="122">
        <f t="shared" si="16"/>
        <v>7358.012392</v>
      </c>
      <c r="AH30" s="122">
        <f t="shared" si="16"/>
        <v>7728.385936</v>
      </c>
      <c r="AI30" s="122">
        <f t="shared" si="16"/>
        <v>8302.841534</v>
      </c>
      <c r="AJ30" s="122">
        <f t="shared" si="16"/>
        <v>8900.275355</v>
      </c>
      <c r="AK30" s="122">
        <f t="shared" si="16"/>
        <v>9521.606529</v>
      </c>
      <c r="AL30" s="122" t="str">
        <f t="shared" si="16"/>
        <v/>
      </c>
      <c r="AM30" s="122" t="str">
        <f t="shared" si="16"/>
        <v/>
      </c>
      <c r="AN30" s="122" t="str">
        <f t="shared" si="16"/>
        <v/>
      </c>
      <c r="AO30" s="122" t="str">
        <f t="shared" si="16"/>
        <v/>
      </c>
      <c r="AP30" s="122" t="str">
        <f t="shared" si="16"/>
        <v/>
      </c>
      <c r="AQ30" s="122" t="str">
        <f t="shared" si="16"/>
        <v/>
      </c>
      <c r="AR30" s="122" t="str">
        <f t="shared" si="16"/>
        <v/>
      </c>
      <c r="AS30" s="122" t="str">
        <f t="shared" si="16"/>
        <v/>
      </c>
      <c r="AT30" s="122" t="str">
        <f t="shared" si="16"/>
        <v/>
      </c>
      <c r="AU30" s="122" t="str">
        <f t="shared" si="16"/>
        <v/>
      </c>
      <c r="AV30" s="122" t="str">
        <f t="shared" si="16"/>
        <v/>
      </c>
      <c r="AW30" s="103"/>
    </row>
    <row r="31">
      <c r="A31" s="115" t="s">
        <v>78</v>
      </c>
      <c r="B31" s="92"/>
      <c r="C31" s="92"/>
      <c r="D31" s="121" t="str">
        <f t="shared" ref="D31:AV31" si="17">if(AND(n(D30)&gt;0, D24&gt;0),D30/D24,)</f>
        <v/>
      </c>
      <c r="E31" s="121" t="str">
        <f t="shared" si="17"/>
        <v/>
      </c>
      <c r="F31" s="121" t="str">
        <f t="shared" si="17"/>
        <v/>
      </c>
      <c r="G31" s="121" t="str">
        <f t="shared" si="17"/>
        <v/>
      </c>
      <c r="H31" s="121" t="str">
        <f t="shared" si="17"/>
        <v/>
      </c>
      <c r="I31" s="121" t="str">
        <f t="shared" si="17"/>
        <v/>
      </c>
      <c r="J31" s="121">
        <f t="shared" si="17"/>
        <v>0.02068490839</v>
      </c>
      <c r="K31" s="121">
        <f t="shared" si="17"/>
        <v>0.02068490839</v>
      </c>
      <c r="L31" s="121">
        <f t="shared" si="17"/>
        <v>0.02068490839</v>
      </c>
      <c r="M31" s="121">
        <f t="shared" si="17"/>
        <v>0.02068490839</v>
      </c>
      <c r="N31" s="121">
        <f t="shared" si="17"/>
        <v>0.02068490839</v>
      </c>
      <c r="O31" s="121">
        <f t="shared" si="17"/>
        <v>0.02068490839</v>
      </c>
      <c r="P31" s="121">
        <f t="shared" si="17"/>
        <v>0.1008420417</v>
      </c>
      <c r="Q31" s="121">
        <f t="shared" si="17"/>
        <v>0.1025839128</v>
      </c>
      <c r="R31" s="121">
        <f t="shared" si="17"/>
        <v>0.104331705</v>
      </c>
      <c r="S31" s="121">
        <f t="shared" si="17"/>
        <v>0.1060840984</v>
      </c>
      <c r="T31" s="121">
        <f t="shared" si="17"/>
        <v>0.1078397587</v>
      </c>
      <c r="U31" s="121">
        <f t="shared" si="17"/>
        <v>0.109597342</v>
      </c>
      <c r="V31" s="121">
        <f t="shared" si="17"/>
        <v>0.1113554982</v>
      </c>
      <c r="W31" s="121">
        <f t="shared" si="17"/>
        <v>0.1131128755</v>
      </c>
      <c r="X31" s="121">
        <f t="shared" si="17"/>
        <v>0.1148681245</v>
      </c>
      <c r="Y31" s="121">
        <f t="shared" si="17"/>
        <v>0.1166199025</v>
      </c>
      <c r="Z31" s="121">
        <f t="shared" si="17"/>
        <v>0.1183668772</v>
      </c>
      <c r="AA31" s="121">
        <f t="shared" si="17"/>
        <v>0.1201077311</v>
      </c>
      <c r="AB31" s="121">
        <f t="shared" si="17"/>
        <v>0.1218411651</v>
      </c>
      <c r="AC31" s="121">
        <f t="shared" si="17"/>
        <v>0.1235659027</v>
      </c>
      <c r="AD31" s="121">
        <f t="shared" si="17"/>
        <v>0.1252806935</v>
      </c>
      <c r="AE31" s="121">
        <f t="shared" si="17"/>
        <v>0.1269843164</v>
      </c>
      <c r="AF31" s="121">
        <f t="shared" si="17"/>
        <v>0.1286755836</v>
      </c>
      <c r="AG31" s="121">
        <f t="shared" si="17"/>
        <v>0.130353343</v>
      </c>
      <c r="AH31" s="121">
        <f t="shared" si="17"/>
        <v>0.1336453406</v>
      </c>
      <c r="AI31" s="121">
        <f t="shared" si="17"/>
        <v>0.1400999194</v>
      </c>
      <c r="AJ31" s="121">
        <f t="shared" si="17"/>
        <v>0.1464889913</v>
      </c>
      <c r="AK31" s="121">
        <f t="shared" si="17"/>
        <v>0.1528087116</v>
      </c>
      <c r="AL31" s="121" t="str">
        <f t="shared" si="17"/>
        <v/>
      </c>
      <c r="AM31" s="121" t="str">
        <f t="shared" si="17"/>
        <v/>
      </c>
      <c r="AN31" s="121" t="str">
        <f t="shared" si="17"/>
        <v/>
      </c>
      <c r="AO31" s="121" t="str">
        <f t="shared" si="17"/>
        <v/>
      </c>
      <c r="AP31" s="121" t="str">
        <f t="shared" si="17"/>
        <v/>
      </c>
      <c r="AQ31" s="121" t="str">
        <f t="shared" si="17"/>
        <v/>
      </c>
      <c r="AR31" s="121" t="str">
        <f t="shared" si="17"/>
        <v/>
      </c>
      <c r="AS31" s="121" t="str">
        <f t="shared" si="17"/>
        <v/>
      </c>
      <c r="AT31" s="121" t="str">
        <f t="shared" si="17"/>
        <v/>
      </c>
      <c r="AU31" s="121" t="str">
        <f t="shared" si="17"/>
        <v/>
      </c>
      <c r="AV31" s="121" t="str">
        <f t="shared" si="17"/>
        <v/>
      </c>
      <c r="AW31" s="103"/>
    </row>
    <row r="32">
      <c r="A32" s="111" t="s">
        <v>79</v>
      </c>
      <c r="B32" s="123"/>
      <c r="C32" s="123"/>
      <c r="D32" s="124" t="str">
        <f t="shared" ref="D32:AV32" si="18">if(n(D24)&gt;0,D24-D30,)</f>
        <v/>
      </c>
      <c r="E32" s="124" t="str">
        <f t="shared" si="18"/>
        <v/>
      </c>
      <c r="F32" s="124">
        <f t="shared" si="18"/>
        <v>18924.1</v>
      </c>
      <c r="G32" s="124">
        <f t="shared" si="18"/>
        <v>18924.1</v>
      </c>
      <c r="H32" s="124">
        <f t="shared" si="18"/>
        <v>18924.1</v>
      </c>
      <c r="I32" s="124">
        <f t="shared" si="18"/>
        <v>18924.1</v>
      </c>
      <c r="J32" s="124">
        <f t="shared" si="18"/>
        <v>21470.602</v>
      </c>
      <c r="K32" s="124">
        <f t="shared" si="18"/>
        <v>21470.602</v>
      </c>
      <c r="L32" s="124">
        <f t="shared" si="18"/>
        <v>21470.602</v>
      </c>
      <c r="M32" s="124">
        <f t="shared" si="18"/>
        <v>21470.602</v>
      </c>
      <c r="N32" s="124">
        <f t="shared" si="18"/>
        <v>21470.602</v>
      </c>
      <c r="O32" s="124">
        <f t="shared" si="18"/>
        <v>21470.602</v>
      </c>
      <c r="P32" s="124">
        <f t="shared" si="18"/>
        <v>35648.97386</v>
      </c>
      <c r="Q32" s="124">
        <f t="shared" si="18"/>
        <v>36216.10873</v>
      </c>
      <c r="R32" s="124">
        <f t="shared" si="18"/>
        <v>36805.929</v>
      </c>
      <c r="S32" s="124">
        <f t="shared" si="18"/>
        <v>37419.34208</v>
      </c>
      <c r="T32" s="124">
        <f t="shared" si="18"/>
        <v>38057.29169</v>
      </c>
      <c r="U32" s="124">
        <f t="shared" si="18"/>
        <v>38720.75927</v>
      </c>
      <c r="V32" s="124">
        <f t="shared" si="18"/>
        <v>39410.76556</v>
      </c>
      <c r="W32" s="124">
        <f t="shared" si="18"/>
        <v>40128.37211</v>
      </c>
      <c r="X32" s="124">
        <f t="shared" si="18"/>
        <v>40874.68291</v>
      </c>
      <c r="Y32" s="124">
        <f t="shared" si="18"/>
        <v>41650.84615</v>
      </c>
      <c r="Z32" s="124">
        <f t="shared" si="18"/>
        <v>42458.05591</v>
      </c>
      <c r="AA32" s="124">
        <f t="shared" si="18"/>
        <v>43297.55407</v>
      </c>
      <c r="AB32" s="124">
        <f t="shared" si="18"/>
        <v>44170.63215</v>
      </c>
      <c r="AC32" s="124">
        <f t="shared" si="18"/>
        <v>45078.63336</v>
      </c>
      <c r="AD32" s="124">
        <f t="shared" si="18"/>
        <v>46022.95461</v>
      </c>
      <c r="AE32" s="124">
        <f t="shared" si="18"/>
        <v>47005.04872</v>
      </c>
      <c r="AF32" s="124">
        <f t="shared" si="18"/>
        <v>48026.42659</v>
      </c>
      <c r="AG32" s="124">
        <f t="shared" si="18"/>
        <v>49088.65957</v>
      </c>
      <c r="AH32" s="124">
        <f t="shared" si="18"/>
        <v>50099.1889</v>
      </c>
      <c r="AI32" s="124">
        <f t="shared" si="18"/>
        <v>50960.8723</v>
      </c>
      <c r="AJ32" s="124">
        <f t="shared" si="18"/>
        <v>51857.02303</v>
      </c>
      <c r="AK32" s="124">
        <f t="shared" si="18"/>
        <v>52789.01979</v>
      </c>
      <c r="AL32" s="124" t="str">
        <f t="shared" si="18"/>
        <v/>
      </c>
      <c r="AM32" s="124" t="str">
        <f t="shared" si="18"/>
        <v/>
      </c>
      <c r="AN32" s="124" t="str">
        <f t="shared" si="18"/>
        <v/>
      </c>
      <c r="AO32" s="124" t="str">
        <f t="shared" si="18"/>
        <v/>
      </c>
      <c r="AP32" s="124" t="str">
        <f t="shared" si="18"/>
        <v/>
      </c>
      <c r="AQ32" s="124" t="str">
        <f t="shared" si="18"/>
        <v/>
      </c>
      <c r="AR32" s="124" t="str">
        <f t="shared" si="18"/>
        <v/>
      </c>
      <c r="AS32" s="124" t="str">
        <f t="shared" si="18"/>
        <v/>
      </c>
      <c r="AT32" s="124" t="str">
        <f t="shared" si="18"/>
        <v/>
      </c>
      <c r="AU32" s="124" t="str">
        <f t="shared" si="18"/>
        <v/>
      </c>
      <c r="AV32" s="124" t="str">
        <f t="shared" si="18"/>
        <v/>
      </c>
      <c r="AW32" s="125"/>
    </row>
    <row r="33">
      <c r="A33" s="111" t="s">
        <v>80</v>
      </c>
      <c r="B33" s="123"/>
      <c r="C33" s="123"/>
      <c r="D33" s="137" t="str">
        <f t="shared" ref="D33:AV33" si="19">if(D32&gt;0,D32/12,)</f>
        <v/>
      </c>
      <c r="E33" s="137" t="str">
        <f t="shared" si="19"/>
        <v/>
      </c>
      <c r="F33" s="137">
        <f t="shared" si="19"/>
        <v>1577.008333</v>
      </c>
      <c r="G33" s="137">
        <f t="shared" si="19"/>
        <v>1577.008333</v>
      </c>
      <c r="H33" s="137">
        <f t="shared" si="19"/>
        <v>1577.008333</v>
      </c>
      <c r="I33" s="137">
        <f t="shared" si="19"/>
        <v>1577.008333</v>
      </c>
      <c r="J33" s="137">
        <f t="shared" si="19"/>
        <v>1789.216833</v>
      </c>
      <c r="K33" s="137">
        <f t="shared" si="19"/>
        <v>1789.216833</v>
      </c>
      <c r="L33" s="137">
        <f t="shared" si="19"/>
        <v>1789.216833</v>
      </c>
      <c r="M33" s="137">
        <f t="shared" si="19"/>
        <v>1789.216833</v>
      </c>
      <c r="N33" s="137">
        <f t="shared" si="19"/>
        <v>1789.216833</v>
      </c>
      <c r="O33" s="137">
        <f t="shared" si="19"/>
        <v>1789.216833</v>
      </c>
      <c r="P33" s="137">
        <f t="shared" si="19"/>
        <v>2970.747822</v>
      </c>
      <c r="Q33" s="137">
        <f t="shared" si="19"/>
        <v>3018.009061</v>
      </c>
      <c r="R33" s="137">
        <f t="shared" si="19"/>
        <v>3067.16075</v>
      </c>
      <c r="S33" s="137">
        <f t="shared" si="19"/>
        <v>3118.278507</v>
      </c>
      <c r="T33" s="137">
        <f t="shared" si="19"/>
        <v>3171.440974</v>
      </c>
      <c r="U33" s="137">
        <f t="shared" si="19"/>
        <v>3226.729939</v>
      </c>
      <c r="V33" s="137">
        <f t="shared" si="19"/>
        <v>3284.230464</v>
      </c>
      <c r="W33" s="137">
        <f t="shared" si="19"/>
        <v>3344.031009</v>
      </c>
      <c r="X33" s="137">
        <f t="shared" si="19"/>
        <v>3406.223576</v>
      </c>
      <c r="Y33" s="137">
        <f t="shared" si="19"/>
        <v>3470.903846</v>
      </c>
      <c r="Z33" s="137">
        <f t="shared" si="19"/>
        <v>3538.171326</v>
      </c>
      <c r="AA33" s="137">
        <f t="shared" si="19"/>
        <v>3608.129506</v>
      </c>
      <c r="AB33" s="137">
        <f t="shared" si="19"/>
        <v>3680.886013</v>
      </c>
      <c r="AC33" s="137">
        <f t="shared" si="19"/>
        <v>3756.55278</v>
      </c>
      <c r="AD33" s="137">
        <f t="shared" si="19"/>
        <v>3835.246218</v>
      </c>
      <c r="AE33" s="137">
        <f t="shared" si="19"/>
        <v>3917.087393</v>
      </c>
      <c r="AF33" s="137">
        <f t="shared" si="19"/>
        <v>4002.202216</v>
      </c>
      <c r="AG33" s="137">
        <f t="shared" si="19"/>
        <v>4090.721631</v>
      </c>
      <c r="AH33" s="137">
        <f t="shared" si="19"/>
        <v>4174.932409</v>
      </c>
      <c r="AI33" s="137">
        <f t="shared" si="19"/>
        <v>4246.739358</v>
      </c>
      <c r="AJ33" s="137">
        <f t="shared" si="19"/>
        <v>4321.418586</v>
      </c>
      <c r="AK33" s="137">
        <f t="shared" si="19"/>
        <v>4399.084983</v>
      </c>
      <c r="AL33" s="137" t="str">
        <f t="shared" si="19"/>
        <v/>
      </c>
      <c r="AM33" s="137" t="str">
        <f t="shared" si="19"/>
        <v/>
      </c>
      <c r="AN33" s="137" t="str">
        <f t="shared" si="19"/>
        <v/>
      </c>
      <c r="AO33" s="137" t="str">
        <f t="shared" si="19"/>
        <v/>
      </c>
      <c r="AP33" s="137" t="str">
        <f t="shared" si="19"/>
        <v/>
      </c>
      <c r="AQ33" s="137" t="str">
        <f t="shared" si="19"/>
        <v/>
      </c>
      <c r="AR33" s="137" t="str">
        <f t="shared" si="19"/>
        <v/>
      </c>
      <c r="AS33" s="137" t="str">
        <f t="shared" si="19"/>
        <v/>
      </c>
      <c r="AT33" s="137" t="str">
        <f t="shared" si="19"/>
        <v/>
      </c>
      <c r="AU33" s="137" t="str">
        <f t="shared" si="19"/>
        <v/>
      </c>
      <c r="AV33" s="137" t="str">
        <f t="shared" si="19"/>
        <v/>
      </c>
      <c r="AW33" s="126"/>
    </row>
    <row r="34">
      <c r="A34" s="127" t="s">
        <v>81</v>
      </c>
      <c r="B34" s="92"/>
      <c r="C34" s="92"/>
      <c r="D34" s="112" t="str">
        <f>if(OR(D5=1,D5=2,D5=5,D5=6),D27*'Person 2 Calculator'!$F$9,)</f>
        <v/>
      </c>
      <c r="E34" s="112" t="str">
        <f>if(OR(E5=1,E5=2,E5=5,E5=6),E27*'Person 2 Calculator'!$F$9,)</f>
        <v/>
      </c>
      <c r="F34" s="112">
        <f>if(OR(F5=1,F5=2,F5=5,F5=6),F27*'Person 2 Calculator'!$F$9,)</f>
        <v>18924.1</v>
      </c>
      <c r="G34" s="112">
        <f>if(OR(G5=1,G5=2,G5=5,G5=6),G27*'Person 2 Calculator'!$F$9,)</f>
        <v>18462.53659</v>
      </c>
      <c r="H34" s="112">
        <f>if(OR(H5=1,H5=2,H5=5,H5=6),H27*'Person 2 Calculator'!$F$9,)</f>
        <v>18012.23081</v>
      </c>
      <c r="I34" s="112">
        <f>if(OR(I5=1,I5=2,I5=5,I5=6),I27*'Person 2 Calculator'!$F$9,)</f>
        <v>17572.90811</v>
      </c>
      <c r="J34" s="112">
        <f>if(OR(J5=1,J5=2,J5=5,J5=6),J27*'Person 2 Calculator'!$F$9,)</f>
        <v>19862.15253</v>
      </c>
      <c r="K34" s="112">
        <f>if(OR(K5=1,K5=2,K5=5,K5=6),K27*'Person 2 Calculator'!$F$9,)</f>
        <v>19377.70979</v>
      </c>
      <c r="L34" s="112">
        <f>if(OR(L5=1,L5=2,L5=5,L5=6),L27*'Person 2 Calculator'!$F$9,)</f>
        <v>18905.08272</v>
      </c>
      <c r="M34" s="112">
        <f>if(OR(M5=1,M5=2,M5=5,M5=6),M27*'Person 2 Calculator'!$F$9,)</f>
        <v>18443.98314</v>
      </c>
      <c r="N34" s="112">
        <f>if(OR(N5=1,N5=2,N5=5,N5=6),N27*'Person 2 Calculator'!$F$9,)</f>
        <v>17994.12989</v>
      </c>
      <c r="O34" s="112">
        <f>if(OR(O5=1,O5=2,O5=5,O5=6),O27*'Person 2 Calculator'!$F$9,)</f>
        <v>17555.24868</v>
      </c>
      <c r="P34" s="112">
        <f>if(OR(P5=1,P5=2,P5=5,P5=6),P27*'Person 2 Calculator'!$F$9,)</f>
        <v>30972.22367</v>
      </c>
      <c r="Q34" s="112">
        <f>if(OR(Q5=1,Q5=2,Q5=5,Q5=6),Q27*'Person 2 Calculator'!$F$9,)</f>
        <v>30757.10219</v>
      </c>
      <c r="R34" s="112">
        <f>if(OR(R5=1,R5=2,R5=5,R5=6),R27*'Person 2 Calculator'!$F$9,)</f>
        <v>30555.13438</v>
      </c>
      <c r="S34" s="112">
        <f>if(OR(S5=1,S5=2,S5=5,S5=6),S27*'Person 2 Calculator'!$F$9,)</f>
        <v>30366.11514</v>
      </c>
      <c r="T34" s="112">
        <f>if(OR(T5=1,T5=2,T5=5,T5=6),T27*'Person 2 Calculator'!$F$9,)</f>
        <v>30189.84604</v>
      </c>
      <c r="U34" s="112">
        <f>if(OR(U5=1,U5=2,U5=5,U5=6),U27*'Person 2 Calculator'!$F$9,)</f>
        <v>30026.13522</v>
      </c>
      <c r="V34" s="112">
        <f>if(OR(V5=1,V5=2,V5=5,V5=6),V27*'Person 2 Calculator'!$F$9,)</f>
        <v>29874.79726</v>
      </c>
      <c r="W34" s="112">
        <f>if(OR(W5=1,W5=2,W5=5,W5=6),W27*'Person 2 Calculator'!$F$9,)</f>
        <v>29735.65301</v>
      </c>
      <c r="X34" s="112">
        <f>if(OR(X5=1,X5=2,X5=5,X5=6),X27*'Person 2 Calculator'!$F$9,)</f>
        <v>29608.52949</v>
      </c>
      <c r="Y34" s="112">
        <f>if(OR(Y5=1,Y5=2,Y5=5,Y5=6),Y27*'Person 2 Calculator'!$F$9,)</f>
        <v>29493.25976</v>
      </c>
      <c r="Z34" s="112">
        <f>if(OR(Z5=1,Z5=2,Z5=5,Z5=6),Z27*'Person 2 Calculator'!$F$9,)</f>
        <v>29389.68279</v>
      </c>
      <c r="AA34" s="112">
        <f>if(OR(AA5=1,AA5=2,AA5=5,AA5=6),AA27*'Person 2 Calculator'!$F$9,)</f>
        <v>29297.64337</v>
      </c>
      <c r="AB34" s="112">
        <f>if(OR(AB5=1,AB5=2,AB5=5,AB5=6),AB27*'Person 2 Calculator'!$F$9,)</f>
        <v>29216.99197</v>
      </c>
      <c r="AC34" s="112">
        <f>if(OR(AC5=1,AC5=2,AC5=5,AC5=6),AC27*'Person 2 Calculator'!$F$9,)</f>
        <v>29147.58462</v>
      </c>
      <c r="AD34" s="112">
        <f>if(OR(AD5=1,AD5=2,AD5=5,AD5=6),AD27*'Person 2 Calculator'!$F$9,)</f>
        <v>29089.28286</v>
      </c>
      <c r="AE34" s="112">
        <f>if(OR(AE5=1,AE5=2,AE5=5,AE5=6),AE27*'Person 2 Calculator'!$F$9,)</f>
        <v>29041.95355</v>
      </c>
      <c r="AF34" s="112">
        <f>if(OR(AF5=1,AF5=2,AF5=5,AF5=6),AF27*'Person 2 Calculator'!$F$9,)</f>
        <v>29005.46885</v>
      </c>
      <c r="AG34" s="112">
        <f>if(OR(AG5=1,AG5=2,AG5=5,AG5=6),AG27*'Person 2 Calculator'!$F$9,)</f>
        <v>28979.70604</v>
      </c>
      <c r="AH34" s="112">
        <f>if(OR(AH5=1,AH5=2,AH5=5,AH5=6),AH27*'Person 2 Calculator'!$F$9,)</f>
        <v>28964.54752</v>
      </c>
      <c r="AI34" s="112">
        <f>if(OR(AI5=1,AI5=2,AI5=5,AI5=6),AI27*'Person 2 Calculator'!$F$9,)</f>
        <v>28959.88062</v>
      </c>
      <c r="AJ34" s="112">
        <f>if(OR(AJ5=1,AJ5=2,AJ5=5,AJ5=6),AJ27*'Person 2 Calculator'!$F$9,)</f>
        <v>28965.59758</v>
      </c>
      <c r="AK34" s="112">
        <f>if(OR(AK5=1,AK5=2,AK5=5,AK5=6),AK27*'Person 2 Calculator'!$F$9,)</f>
        <v>28981.59542</v>
      </c>
      <c r="AL34" s="112" t="str">
        <f>if(OR(AL5=1,AL5=2,AL5=5,AL5=6),AL27*'Person 2 Calculator'!$F$9,)</f>
        <v/>
      </c>
      <c r="AM34" s="112" t="str">
        <f>if(OR(AM5=1,AM5=2,AM5=5,AM5=6),AM27*'Person 2 Calculator'!$F$9,)</f>
        <v/>
      </c>
      <c r="AN34" s="112" t="str">
        <f>if(OR(AN5=1,AN5=2,AN5=5,AN5=6),AN27*'Person 2 Calculator'!$F$9,)</f>
        <v/>
      </c>
      <c r="AO34" s="112" t="str">
        <f>if(OR(AO5=1,AO5=2,AO5=5,AO5=6),AO27*'Person 2 Calculator'!$F$9,)</f>
        <v/>
      </c>
      <c r="AP34" s="112" t="str">
        <f>if(OR(AP5=1,AP5=2,AP5=5,AP5=6),AP27*'Person 2 Calculator'!$F$9,)</f>
        <v/>
      </c>
      <c r="AQ34" s="112" t="str">
        <f>if(OR(AQ5=1,AQ5=2,AQ5=5,AQ5=6),AQ27*'Person 2 Calculator'!$F$9,)</f>
        <v/>
      </c>
      <c r="AR34" s="112" t="str">
        <f>if(OR(AR5=1,AR5=2,AR5=5,AR5=6),AR27*'Person 2 Calculator'!$F$9,)</f>
        <v/>
      </c>
      <c r="AS34" s="112" t="str">
        <f>if(OR(AS5=1,AS5=2,AS5=5,AS5=6),AS27*'Person 2 Calculator'!$F$9,)</f>
        <v/>
      </c>
      <c r="AT34" s="112" t="str">
        <f>if(OR(AT5=1,AT5=2,AT5=5,AT5=6),AT27*'Person 2 Calculator'!$F$9,)</f>
        <v/>
      </c>
      <c r="AU34" s="112" t="str">
        <f>if(OR(AU5=1,AU5=2,AU5=5,AU5=6),AU27*'Person 2 Calculator'!$F$9,)</f>
        <v/>
      </c>
      <c r="AV34" s="112" t="str">
        <f>if(OR(AV5=1,AV5=2,AV5=5,AV5=6),AV27*'Person 2 Calculator'!$F$9,)</f>
        <v/>
      </c>
      <c r="AW34" s="126"/>
    </row>
    <row r="35">
      <c r="A35" s="127" t="s">
        <v>82</v>
      </c>
      <c r="B35" s="92"/>
      <c r="C35" s="92"/>
      <c r="D35" s="112" t="str">
        <f>if(OR(D5=1,D5=2,D5=5,D5=6),D27*'Person 2 Calculator'!$D$9,)</f>
        <v/>
      </c>
      <c r="E35" s="112" t="str">
        <f>if(OR(E5=1,E5=2,E5=5,E5=6),E27*'Person 2 Calculator'!$D$9,)</f>
        <v/>
      </c>
      <c r="F35" s="112">
        <f>if(OR(F5=1,F5=2,F5=5,F5=6),F27*'Person 2 Calculator'!$D$9,)</f>
        <v>18924.1</v>
      </c>
      <c r="G35" s="112">
        <f>if(OR(G5=1,G5=2,G5=5,G5=6),G27*'Person 2 Calculator'!$D$9,)</f>
        <v>18462.53659</v>
      </c>
      <c r="H35" s="112">
        <f>if(OR(H5=1,H5=2,H5=5,H5=6),H27*'Person 2 Calculator'!$D$9,)</f>
        <v>18012.23081</v>
      </c>
      <c r="I35" s="112">
        <f>if(OR(I5=1,I5=2,I5=5,I5=6),I27*'Person 2 Calculator'!$D$9,)</f>
        <v>17572.90811</v>
      </c>
      <c r="J35" s="112">
        <f>if(OR(J5=1,J5=2,J5=5,J5=6),J27*'Person 2 Calculator'!$D$9,)</f>
        <v>19862.15253</v>
      </c>
      <c r="K35" s="112">
        <f>if(OR(K5=1,K5=2,K5=5,K5=6),K27*'Person 2 Calculator'!$D$9,)</f>
        <v>19377.70979</v>
      </c>
      <c r="L35" s="112">
        <f>if(OR(L5=1,L5=2,L5=5,L5=6),L27*'Person 2 Calculator'!$D$9,)</f>
        <v>18905.08272</v>
      </c>
      <c r="M35" s="112">
        <f>if(OR(M5=1,M5=2,M5=5,M5=6),M27*'Person 2 Calculator'!$D$9,)</f>
        <v>18443.98314</v>
      </c>
      <c r="N35" s="112">
        <f>if(OR(N5=1,N5=2,N5=5,N5=6),N27*'Person 2 Calculator'!$D$9,)</f>
        <v>17994.12989</v>
      </c>
      <c r="O35" s="112">
        <f>if(OR(O5=1,O5=2,O5=5,O5=6),O27*'Person 2 Calculator'!$D$9,)</f>
        <v>17555.24868</v>
      </c>
      <c r="P35" s="112">
        <f>if(OR(P5=1,P5=2,P5=5,P5=6),P27*'Person 2 Calculator'!$D$9,)</f>
        <v>30972.22367</v>
      </c>
      <c r="Q35" s="112">
        <f>if(OR(Q5=1,Q5=2,Q5=5,Q5=6),Q27*'Person 2 Calculator'!$D$9,)</f>
        <v>30757.10219</v>
      </c>
      <c r="R35" s="112">
        <f>if(OR(R5=1,R5=2,R5=5,R5=6),R27*'Person 2 Calculator'!$D$9,)</f>
        <v>30555.13438</v>
      </c>
      <c r="S35" s="112">
        <f>if(OR(S5=1,S5=2,S5=5,S5=6),S27*'Person 2 Calculator'!$D$9,)</f>
        <v>30366.11514</v>
      </c>
      <c r="T35" s="112">
        <f>if(OR(T5=1,T5=2,T5=5,T5=6),T27*'Person 2 Calculator'!$D$9,)</f>
        <v>30189.84604</v>
      </c>
      <c r="U35" s="112">
        <f>if(OR(U5=1,U5=2,U5=5,U5=6),U27*'Person 2 Calculator'!$D$9,)</f>
        <v>30026.13522</v>
      </c>
      <c r="V35" s="112">
        <f>if(OR(V5=1,V5=2,V5=5,V5=6),V27*'Person 2 Calculator'!$D$9,)</f>
        <v>29874.79726</v>
      </c>
      <c r="W35" s="112">
        <f>if(OR(W5=1,W5=2,W5=5,W5=6),W27*'Person 2 Calculator'!$D$9,)</f>
        <v>29735.65301</v>
      </c>
      <c r="X35" s="112">
        <f>if(OR(X5=1,X5=2,X5=5,X5=6),X27*'Person 2 Calculator'!$D$9,)</f>
        <v>29608.52949</v>
      </c>
      <c r="Y35" s="112">
        <f>if(OR(Y5=1,Y5=2,Y5=5,Y5=6),Y27*'Person 2 Calculator'!$D$9,)</f>
        <v>29493.25976</v>
      </c>
      <c r="Z35" s="112">
        <f>if(OR(Z5=1,Z5=2,Z5=5,Z5=6),Z27*'Person 2 Calculator'!$D$9,)</f>
        <v>29389.68279</v>
      </c>
      <c r="AA35" s="112">
        <f>if(OR(AA5=1,AA5=2,AA5=5,AA5=6),AA27*'Person 2 Calculator'!$D$9,)</f>
        <v>29297.64337</v>
      </c>
      <c r="AB35" s="112">
        <f>if(OR(AB5=1,AB5=2,AB5=5,AB5=6),AB27*'Person 2 Calculator'!$D$9,)</f>
        <v>29216.99197</v>
      </c>
      <c r="AC35" s="112">
        <f>if(OR(AC5=1,AC5=2,AC5=5,AC5=6),AC27*'Person 2 Calculator'!$D$9,)</f>
        <v>29147.58462</v>
      </c>
      <c r="AD35" s="112">
        <f>if(OR(AD5=1,AD5=2,AD5=5,AD5=6),AD27*'Person 2 Calculator'!$D$9,)</f>
        <v>29089.28286</v>
      </c>
      <c r="AE35" s="112">
        <f>if(OR(AE5=1,AE5=2,AE5=5,AE5=6),AE27*'Person 2 Calculator'!$D$9,)</f>
        <v>29041.95355</v>
      </c>
      <c r="AF35" s="112">
        <f>if(OR(AF5=1,AF5=2,AF5=5,AF5=6),AF27*'Person 2 Calculator'!$D$9,)</f>
        <v>29005.46885</v>
      </c>
      <c r="AG35" s="112">
        <f>if(OR(AG5=1,AG5=2,AG5=5,AG5=6),AG27*'Person 2 Calculator'!$D$9,)</f>
        <v>28979.70604</v>
      </c>
      <c r="AH35" s="112">
        <f>if(OR(AH5=1,AH5=2,AH5=5,AH5=6),AH27*'Person 2 Calculator'!$D$9,)</f>
        <v>28964.54752</v>
      </c>
      <c r="AI35" s="112">
        <f>if(OR(AI5=1,AI5=2,AI5=5,AI5=6),AI27*'Person 2 Calculator'!$D$9,)</f>
        <v>28959.88062</v>
      </c>
      <c r="AJ35" s="112">
        <f>if(OR(AJ5=1,AJ5=2,AJ5=5,AJ5=6),AJ27*'Person 2 Calculator'!$D$9,)</f>
        <v>28965.59758</v>
      </c>
      <c r="AK35" s="112">
        <f>if(OR(AK5=1,AK5=2,AK5=5,AK5=6),AK27*'Person 2 Calculator'!$D$9,)</f>
        <v>28981.59542</v>
      </c>
      <c r="AL35" s="112" t="str">
        <f>if(OR(AL5=1,AL5=2,AL5=5,AL5=6),AL27*'Person 2 Calculator'!$D$9,)</f>
        <v/>
      </c>
      <c r="AM35" s="112" t="str">
        <f>if(OR(AM5=1,AM5=2,AM5=5,AM5=6),AM27*'Person 2 Calculator'!$D$9,)</f>
        <v/>
      </c>
      <c r="AN35" s="112" t="str">
        <f>if(OR(AN5=1,AN5=2,AN5=5,AN5=6),AN27*'Person 2 Calculator'!$D$9,)</f>
        <v/>
      </c>
      <c r="AO35" s="112" t="str">
        <f>if(OR(AO5=1,AO5=2,AO5=5,AO5=6),AO27*'Person 2 Calculator'!$D$9,)</f>
        <v/>
      </c>
      <c r="AP35" s="112" t="str">
        <f>if(OR(AP5=1,AP5=2,AP5=5,AP5=6),AP27*'Person 2 Calculator'!$D$9,)</f>
        <v/>
      </c>
      <c r="AQ35" s="112" t="str">
        <f>if(OR(AQ5=1,AQ5=2,AQ5=5,AQ5=6),AQ27*'Person 2 Calculator'!$D$9,)</f>
        <v/>
      </c>
      <c r="AR35" s="112" t="str">
        <f>if(OR(AR5=1,AR5=2,AR5=5,AR5=6),AR27*'Person 2 Calculator'!$D$9,)</f>
        <v/>
      </c>
      <c r="AS35" s="112" t="str">
        <f>if(OR(AS5=1,AS5=2,AS5=5,AS5=6),AS27*'Person 2 Calculator'!$D$9,)</f>
        <v/>
      </c>
      <c r="AT35" s="112" t="str">
        <f>if(OR(AT5=1,AT5=2,AT5=5,AT5=6),AT27*'Person 2 Calculator'!$D$9,)</f>
        <v/>
      </c>
      <c r="AU35" s="112" t="str">
        <f>if(OR(AU5=1,AU5=2,AU5=5,AU5=6),AU27*'Person 2 Calculator'!$D$9,)</f>
        <v/>
      </c>
      <c r="AV35" s="112" t="str">
        <f>if(OR(AV5=1,AV5=2,AV5=5,AV5=6),AV27*'Person 2 Calculator'!$D$9,)</f>
        <v/>
      </c>
      <c r="AW35" s="126"/>
    </row>
  </sheetData>
  <mergeCells count="3">
    <mergeCell ref="A1:A2"/>
    <mergeCell ref="E1:F2"/>
    <mergeCell ref="G1:G2"/>
  </mergeCells>
  <conditionalFormatting sqref="D28:AV28">
    <cfRule type="cellIs" dxfId="0" priority="1" operator="equal">
      <formula>0</formula>
    </cfRule>
  </conditionalFormatting>
  <conditionalFormatting sqref="D10:AV10">
    <cfRule type="cellIs" dxfId="1" priority="2" operator="greaterThan">
      <formula>268275</formula>
    </cfRule>
  </conditionalFormatting>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5.25"/>
    <col hidden="1" min="2" max="21" width="12.63"/>
    <col customWidth="1" min="23" max="23" width="13.75"/>
    <col customWidth="1" min="32" max="32" width="12.75"/>
    <col hidden="1" min="55" max="72" width="12.63"/>
  </cols>
  <sheetData>
    <row r="1" ht="42.0" customHeight="1">
      <c r="A1" s="138"/>
      <c r="B1" s="38"/>
      <c r="C1" s="139"/>
      <c r="D1" s="139"/>
      <c r="E1" s="139"/>
      <c r="F1" s="139"/>
      <c r="G1" s="139"/>
      <c r="H1" s="139"/>
      <c r="I1" s="139"/>
      <c r="J1" s="139"/>
      <c r="K1" s="140"/>
      <c r="L1" s="139"/>
      <c r="M1" s="139"/>
      <c r="N1" s="139"/>
      <c r="O1" s="139"/>
      <c r="P1" s="139"/>
      <c r="Q1" s="139"/>
      <c r="R1" s="139"/>
      <c r="S1" s="139"/>
      <c r="T1" s="141"/>
      <c r="U1" s="139"/>
      <c r="V1" s="139" t="s">
        <v>91</v>
      </c>
      <c r="W1" s="142"/>
      <c r="X1" s="142"/>
      <c r="Y1" s="142"/>
      <c r="Z1" s="142"/>
      <c r="AA1" s="142"/>
      <c r="AB1" s="142"/>
      <c r="AC1" s="143"/>
      <c r="AD1" s="143"/>
      <c r="AE1" s="142"/>
      <c r="AF1" s="142"/>
      <c r="AG1" s="142"/>
      <c r="AH1" s="142"/>
      <c r="AI1" s="142"/>
      <c r="AJ1" s="142"/>
      <c r="AK1" s="142"/>
      <c r="AL1" s="142"/>
      <c r="AM1" s="142"/>
      <c r="AN1" s="142"/>
      <c r="AO1" s="142"/>
      <c r="AP1" s="142"/>
      <c r="AQ1" s="142"/>
      <c r="AR1" s="142"/>
      <c r="AS1" s="142"/>
      <c r="AT1" s="142"/>
      <c r="AU1" s="142"/>
      <c r="AV1" s="142"/>
      <c r="AW1" s="142"/>
      <c r="AX1" s="142"/>
      <c r="AY1" s="142"/>
      <c r="AZ1" s="142"/>
      <c r="BA1" s="142"/>
      <c r="BB1" s="142"/>
      <c r="BC1" s="142"/>
      <c r="BD1" s="142"/>
      <c r="BE1" s="142"/>
      <c r="BF1" s="142"/>
      <c r="BG1" s="142"/>
      <c r="BH1" s="142"/>
      <c r="BI1" s="142"/>
      <c r="BJ1" s="142"/>
      <c r="BK1" s="142"/>
      <c r="BL1" s="142"/>
      <c r="BM1" s="142"/>
      <c r="BN1" s="142"/>
      <c r="BO1" s="142"/>
      <c r="BP1" s="142"/>
      <c r="BQ1" s="142"/>
      <c r="BR1" s="142"/>
      <c r="BS1" s="142"/>
      <c r="BT1" s="142"/>
    </row>
    <row r="2" ht="42.0" customHeight="1">
      <c r="A2" s="138"/>
      <c r="B2" s="38"/>
      <c r="C2" s="38"/>
      <c r="D2" s="38"/>
      <c r="E2" s="38"/>
      <c r="F2" s="38"/>
      <c r="G2" s="38"/>
      <c r="H2" s="38"/>
      <c r="I2" s="38"/>
      <c r="J2" s="140"/>
      <c r="K2" s="140"/>
      <c r="L2" s="144" t="s">
        <v>92</v>
      </c>
      <c r="M2" s="47"/>
      <c r="N2" s="145">
        <f>'Person 1 Calculator'!F9+'Person 2 Calculator'!F9</f>
        <v>127593.7749</v>
      </c>
      <c r="O2" s="38"/>
      <c r="P2" s="38"/>
      <c r="Q2" s="38"/>
      <c r="R2" s="38"/>
      <c r="S2" s="38"/>
      <c r="T2" s="51"/>
      <c r="U2" s="51"/>
      <c r="V2" s="146"/>
      <c r="W2" s="10"/>
      <c r="X2" s="10"/>
      <c r="Y2" s="10"/>
      <c r="Z2" s="10"/>
      <c r="AA2" s="10"/>
      <c r="AB2" s="147"/>
      <c r="AC2" s="141"/>
      <c r="AD2" s="141"/>
      <c r="AE2" s="141"/>
      <c r="AF2" s="10"/>
      <c r="AG2" s="10"/>
      <c r="AH2" s="10"/>
      <c r="AI2" s="10"/>
      <c r="AJ2" s="148"/>
      <c r="AK2" s="58"/>
      <c r="AL2" s="58"/>
      <c r="AM2" s="58"/>
      <c r="AN2" s="58"/>
      <c r="AO2" s="59"/>
      <c r="AP2" s="149"/>
      <c r="AQ2" s="150"/>
      <c r="AR2" s="150"/>
      <c r="AS2" s="150"/>
      <c r="AT2" s="151"/>
      <c r="AU2" s="151"/>
      <c r="AV2" s="151"/>
      <c r="AW2" s="151"/>
      <c r="AX2" s="151"/>
      <c r="AY2" s="151"/>
      <c r="AZ2" s="151"/>
      <c r="BA2" s="151"/>
      <c r="BB2" s="151"/>
      <c r="BC2" s="151"/>
      <c r="BD2" s="151"/>
      <c r="BE2" s="152"/>
      <c r="BF2" s="103"/>
      <c r="BG2" s="103"/>
      <c r="BH2" s="103"/>
      <c r="BI2" s="103"/>
      <c r="BJ2" s="103"/>
      <c r="BK2" s="103"/>
      <c r="BL2" s="103"/>
      <c r="BM2" s="103"/>
      <c r="BN2" s="103"/>
      <c r="BO2" s="103"/>
      <c r="BP2" s="103"/>
      <c r="BQ2" s="103"/>
      <c r="BR2" s="103"/>
      <c r="BS2" s="103"/>
      <c r="BT2" s="103"/>
    </row>
    <row r="3" ht="60.75" customHeight="1">
      <c r="A3" s="153"/>
      <c r="B3" s="154"/>
      <c r="C3" s="58"/>
      <c r="D3" s="141"/>
      <c r="E3" s="141"/>
      <c r="F3" s="141"/>
      <c r="G3" s="141"/>
      <c r="H3" s="141"/>
      <c r="I3" s="141"/>
      <c r="J3" s="140"/>
      <c r="K3" s="140"/>
      <c r="L3" s="144" t="s">
        <v>93</v>
      </c>
      <c r="M3" s="47"/>
      <c r="N3" s="145">
        <f>'Person 1 Calculator'!D9+'Person 2 Calculator'!D9</f>
        <v>108009.3524</v>
      </c>
      <c r="O3" s="141"/>
      <c r="P3" s="141"/>
      <c r="Q3" s="141"/>
      <c r="R3" s="141"/>
      <c r="S3" s="141"/>
      <c r="T3" s="141"/>
      <c r="U3" s="51"/>
      <c r="V3" s="146"/>
      <c r="W3" s="10"/>
      <c r="X3" s="10"/>
      <c r="Y3" s="141"/>
      <c r="Z3" s="10"/>
      <c r="AA3" s="10"/>
      <c r="AB3" s="147"/>
      <c r="AC3" s="141"/>
      <c r="AD3" s="141"/>
      <c r="AE3" s="141"/>
      <c r="AF3" s="10"/>
      <c r="AG3" s="10"/>
      <c r="AH3" s="10"/>
      <c r="AI3" s="10"/>
      <c r="AJ3" s="10"/>
      <c r="AK3" s="155"/>
      <c r="AL3" s="58"/>
      <c r="AM3" s="58"/>
      <c r="AN3" s="58"/>
      <c r="AO3" s="58"/>
      <c r="AP3" s="156"/>
      <c r="AQ3" s="156"/>
      <c r="AR3" s="156"/>
      <c r="AS3" s="156"/>
      <c r="AT3" s="157"/>
      <c r="AU3" s="157"/>
      <c r="AV3" s="157"/>
      <c r="AW3" s="157"/>
      <c r="AX3" s="157"/>
      <c r="AY3" s="157"/>
      <c r="AZ3" s="157"/>
      <c r="BA3" s="157"/>
      <c r="BB3" s="157"/>
      <c r="BC3" s="157"/>
      <c r="BD3" s="157"/>
      <c r="BE3" s="158"/>
      <c r="BF3" s="103"/>
      <c r="BG3" s="103"/>
      <c r="BH3" s="103"/>
      <c r="BI3" s="103"/>
      <c r="BJ3" s="103"/>
      <c r="BK3" s="103"/>
      <c r="BL3" s="103"/>
      <c r="BM3" s="103"/>
      <c r="BN3" s="103"/>
      <c r="BO3" s="103"/>
      <c r="BP3" s="103"/>
      <c r="BQ3" s="103"/>
      <c r="BR3" s="103"/>
      <c r="BS3" s="103"/>
      <c r="BT3" s="103"/>
    </row>
    <row r="4" ht="41.25" customHeight="1">
      <c r="A4" s="138"/>
      <c r="B4" s="159"/>
      <c r="C4" s="160"/>
      <c r="D4" s="38"/>
      <c r="E4" s="38"/>
      <c r="F4" s="38"/>
      <c r="G4" s="38"/>
      <c r="H4" s="38"/>
      <c r="I4" s="38"/>
      <c r="J4" s="140"/>
      <c r="K4" s="140"/>
      <c r="L4" s="144" t="s">
        <v>94</v>
      </c>
      <c r="M4" s="47"/>
      <c r="N4" s="145">
        <f>N2-N3</f>
        <v>19584.42246</v>
      </c>
      <c r="O4" s="38"/>
      <c r="P4" s="38"/>
      <c r="Q4" s="38"/>
      <c r="R4" s="38"/>
      <c r="S4" s="38"/>
      <c r="T4" s="51"/>
      <c r="U4" s="51"/>
      <c r="V4" s="51"/>
      <c r="W4" s="51"/>
      <c r="X4" s="51"/>
      <c r="Y4" s="51"/>
      <c r="Z4" s="51"/>
      <c r="AA4" s="10"/>
      <c r="AB4" s="147"/>
      <c r="AC4" s="141"/>
      <c r="AD4" s="141"/>
      <c r="AE4" s="141"/>
      <c r="AF4" s="10"/>
      <c r="AG4" s="10"/>
      <c r="AH4" s="10"/>
      <c r="AI4" s="161"/>
      <c r="AJ4" s="161"/>
      <c r="AK4" s="10"/>
      <c r="AL4" s="10"/>
      <c r="AM4" s="10"/>
      <c r="AN4" s="10"/>
      <c r="AO4" s="10"/>
      <c r="AP4" s="3"/>
      <c r="AQ4" s="10"/>
      <c r="AR4" s="10"/>
      <c r="AS4" s="10"/>
      <c r="AT4" s="162"/>
      <c r="AU4" s="157"/>
      <c r="AV4" s="157"/>
      <c r="AW4" s="157"/>
      <c r="AX4" s="157"/>
      <c r="AY4" s="157"/>
      <c r="AZ4" s="157"/>
      <c r="BA4" s="157"/>
      <c r="BB4" s="157"/>
      <c r="BC4" s="157"/>
      <c r="BD4" s="157"/>
      <c r="BE4" s="158"/>
      <c r="BF4" s="103"/>
      <c r="BG4" s="103"/>
      <c r="BH4" s="103"/>
      <c r="BI4" s="103"/>
      <c r="BJ4" s="103"/>
      <c r="BK4" s="103"/>
      <c r="BL4" s="103"/>
      <c r="BM4" s="103"/>
      <c r="BN4" s="103"/>
      <c r="BO4" s="103"/>
      <c r="BP4" s="103"/>
      <c r="BQ4" s="103"/>
      <c r="BR4" s="103"/>
      <c r="BS4" s="103"/>
      <c r="BT4" s="103"/>
    </row>
    <row r="5" ht="54.0" customHeight="1">
      <c r="A5" s="163"/>
      <c r="B5" s="51"/>
      <c r="C5" s="51"/>
      <c r="D5" s="51"/>
      <c r="E5" s="51"/>
      <c r="F5" s="51"/>
      <c r="G5" s="51"/>
      <c r="H5" s="51"/>
      <c r="I5" s="38"/>
      <c r="J5" s="140"/>
      <c r="K5" s="140"/>
      <c r="L5" s="144"/>
      <c r="M5" s="47"/>
      <c r="N5" s="145"/>
      <c r="O5" s="51"/>
      <c r="P5" s="51"/>
      <c r="Q5" s="51"/>
      <c r="R5" s="51"/>
      <c r="S5" s="51"/>
      <c r="T5" s="51"/>
      <c r="U5" s="51"/>
      <c r="V5" s="51"/>
      <c r="W5" s="51"/>
      <c r="X5" s="51"/>
      <c r="Y5" s="51"/>
      <c r="Z5" s="51"/>
      <c r="AA5" s="10"/>
      <c r="AB5" s="147"/>
      <c r="AC5" s="141"/>
      <c r="AD5" s="141"/>
      <c r="AE5" s="141"/>
      <c r="AF5" s="10"/>
      <c r="AG5" s="10"/>
      <c r="AH5" s="10"/>
      <c r="AI5" s="161"/>
      <c r="AJ5" s="161"/>
      <c r="AK5" s="10"/>
      <c r="AL5" s="10"/>
      <c r="AM5" s="10"/>
      <c r="AN5" s="10"/>
      <c r="AO5" s="10"/>
      <c r="AP5" s="3"/>
      <c r="AQ5" s="10"/>
      <c r="AR5" s="164"/>
      <c r="AS5" s="10"/>
      <c r="AT5" s="162"/>
      <c r="AU5" s="157"/>
      <c r="AV5" s="157"/>
      <c r="AW5" s="157"/>
      <c r="AX5" s="157"/>
      <c r="AY5" s="157"/>
      <c r="AZ5" s="157"/>
      <c r="BA5" s="157"/>
      <c r="BB5" s="157"/>
      <c r="BC5" s="157"/>
      <c r="BD5" s="157"/>
      <c r="BE5" s="158"/>
      <c r="BF5" s="103"/>
      <c r="BG5" s="103"/>
      <c r="BH5" s="103"/>
      <c r="BI5" s="103"/>
      <c r="BJ5" s="103"/>
      <c r="BK5" s="103"/>
      <c r="BL5" s="103"/>
      <c r="BM5" s="103"/>
      <c r="BN5" s="103"/>
      <c r="BO5" s="103"/>
      <c r="BP5" s="103"/>
      <c r="BQ5" s="103"/>
      <c r="BR5" s="103"/>
      <c r="BS5" s="103"/>
      <c r="BT5" s="103"/>
    </row>
    <row r="6" ht="41.25" customHeight="1">
      <c r="A6" s="159"/>
      <c r="B6" s="51"/>
      <c r="C6" s="51"/>
      <c r="D6" s="51"/>
      <c r="E6" s="51"/>
      <c r="F6" s="51"/>
      <c r="G6" s="51"/>
      <c r="H6" s="51"/>
      <c r="I6" s="38"/>
      <c r="J6" s="140"/>
      <c r="K6" s="140"/>
      <c r="L6" s="144" t="s">
        <v>95</v>
      </c>
      <c r="M6" s="47"/>
      <c r="N6" s="145">
        <f>'Person 1 Calculator'!D12+'Person 2 Calculator'!D12</f>
        <v>82416.74902</v>
      </c>
      <c r="O6" s="51"/>
      <c r="P6" s="51"/>
      <c r="Q6" s="51"/>
      <c r="R6" s="51"/>
      <c r="S6" s="51"/>
      <c r="T6" s="51"/>
      <c r="U6" s="51"/>
      <c r="V6" s="51"/>
      <c r="W6" s="51"/>
      <c r="X6" s="51"/>
      <c r="Y6" s="51"/>
      <c r="Z6" s="51"/>
      <c r="AA6" s="10"/>
      <c r="AB6" s="10"/>
      <c r="AC6" s="141"/>
      <c r="AD6" s="141"/>
      <c r="AE6" s="141"/>
      <c r="AF6" s="10"/>
      <c r="AG6" s="10"/>
      <c r="AH6" s="10"/>
      <c r="AI6" s="161"/>
      <c r="AJ6" s="161"/>
      <c r="AK6" s="10"/>
      <c r="AL6" s="10"/>
      <c r="AM6" s="10"/>
      <c r="AN6" s="10"/>
      <c r="AO6" s="10"/>
      <c r="AP6" s="3"/>
      <c r="AQ6" s="10"/>
      <c r="AR6" s="164"/>
      <c r="AS6" s="10"/>
      <c r="AT6" s="162"/>
      <c r="AU6" s="157"/>
      <c r="AV6" s="157"/>
      <c r="AW6" s="157"/>
      <c r="AX6" s="157"/>
      <c r="AY6" s="157"/>
      <c r="AZ6" s="157"/>
      <c r="BA6" s="157"/>
      <c r="BB6" s="157"/>
      <c r="BC6" s="157"/>
      <c r="BD6" s="157"/>
      <c r="BE6" s="158"/>
      <c r="BF6" s="103"/>
      <c r="BG6" s="103"/>
      <c r="BH6" s="103"/>
      <c r="BI6" s="103"/>
      <c r="BJ6" s="103"/>
      <c r="BK6" s="103"/>
      <c r="BL6" s="103"/>
      <c r="BM6" s="103"/>
      <c r="BN6" s="103"/>
      <c r="BO6" s="103"/>
      <c r="BP6" s="103"/>
      <c r="BQ6" s="103"/>
      <c r="BR6" s="103"/>
      <c r="BS6" s="103"/>
      <c r="BT6" s="103"/>
    </row>
    <row r="7" ht="60.0" customHeight="1">
      <c r="A7" s="165"/>
      <c r="B7" s="51"/>
      <c r="C7" s="51"/>
      <c r="D7" s="51"/>
      <c r="E7" s="51"/>
      <c r="F7" s="51"/>
      <c r="G7" s="51"/>
      <c r="H7" s="51"/>
      <c r="I7" s="38"/>
      <c r="J7" s="140"/>
      <c r="K7" s="140"/>
      <c r="L7" s="144"/>
      <c r="M7" s="47"/>
      <c r="N7" s="145"/>
      <c r="O7" s="51"/>
      <c r="P7" s="51"/>
      <c r="Q7" s="51"/>
      <c r="R7" s="51"/>
      <c r="S7" s="51"/>
      <c r="T7" s="51"/>
      <c r="U7" s="51"/>
      <c r="V7" s="51"/>
      <c r="W7" s="51"/>
      <c r="X7" s="51"/>
      <c r="Y7" s="51"/>
      <c r="Z7" s="51"/>
      <c r="AA7" s="10"/>
      <c r="AB7" s="147"/>
      <c r="AC7" s="141"/>
      <c r="AD7" s="141"/>
      <c r="AE7" s="141"/>
      <c r="AF7" s="10"/>
      <c r="AG7" s="10"/>
      <c r="AH7" s="10"/>
      <c r="AI7" s="10"/>
      <c r="AJ7" s="161"/>
      <c r="AK7" s="10"/>
      <c r="AL7" s="10"/>
      <c r="AM7" s="10"/>
      <c r="AN7" s="10"/>
      <c r="AO7" s="10"/>
      <c r="AP7" s="3"/>
      <c r="AQ7" s="10"/>
      <c r="AR7" s="164"/>
      <c r="AS7" s="10"/>
      <c r="AT7" s="162"/>
      <c r="AU7" s="157"/>
      <c r="AV7" s="157"/>
      <c r="AW7" s="157"/>
      <c r="AX7" s="157"/>
      <c r="AY7" s="157"/>
      <c r="AZ7" s="157"/>
      <c r="BA7" s="157"/>
      <c r="BB7" s="157"/>
      <c r="BC7" s="157"/>
      <c r="BD7" s="157"/>
      <c r="BE7" s="158"/>
      <c r="BF7" s="103"/>
      <c r="BG7" s="103"/>
      <c r="BH7" s="103"/>
      <c r="BI7" s="103"/>
      <c r="BJ7" s="103"/>
      <c r="BK7" s="103"/>
      <c r="BL7" s="103"/>
      <c r="BM7" s="103"/>
      <c r="BN7" s="103"/>
      <c r="BO7" s="103"/>
      <c r="BP7" s="103"/>
      <c r="BQ7" s="103"/>
      <c r="BR7" s="103"/>
      <c r="BS7" s="103"/>
      <c r="BT7" s="103"/>
    </row>
    <row r="8" ht="31.5" customHeight="1">
      <c r="A8" s="165"/>
      <c r="B8" s="166"/>
      <c r="C8" s="166"/>
      <c r="D8" s="166"/>
      <c r="E8" s="166"/>
      <c r="F8" s="166"/>
      <c r="G8" s="166"/>
      <c r="H8" s="166"/>
      <c r="I8" s="166"/>
      <c r="J8" s="167"/>
      <c r="K8" s="168"/>
      <c r="L8" s="166"/>
      <c r="M8" s="166"/>
      <c r="N8" s="166"/>
      <c r="O8" s="166"/>
      <c r="P8" s="166"/>
      <c r="Q8" s="166"/>
      <c r="R8" s="166"/>
      <c r="S8" s="166"/>
      <c r="T8" s="166"/>
      <c r="U8" s="166"/>
      <c r="V8" s="166"/>
      <c r="W8" s="166"/>
      <c r="X8" s="166"/>
      <c r="Y8" s="166"/>
      <c r="Z8" s="166"/>
      <c r="AA8" s="166"/>
      <c r="AB8" s="169"/>
      <c r="AC8" s="170"/>
      <c r="AD8" s="171"/>
      <c r="AE8" s="169"/>
      <c r="AF8" s="169"/>
      <c r="AG8" s="172"/>
      <c r="AH8" s="169"/>
      <c r="AI8" s="169"/>
      <c r="AJ8" s="173"/>
      <c r="AK8" s="173"/>
      <c r="AL8" s="173"/>
      <c r="AM8" s="173"/>
      <c r="AN8" s="173"/>
      <c r="AO8" s="173"/>
      <c r="AP8" s="173"/>
      <c r="AQ8" s="173"/>
      <c r="AR8" s="173"/>
      <c r="AS8" s="173"/>
      <c r="AT8" s="173"/>
      <c r="AU8" s="173"/>
      <c r="AV8" s="173"/>
      <c r="AW8" s="173"/>
      <c r="AX8" s="173"/>
      <c r="AY8" s="173"/>
      <c r="AZ8" s="173"/>
      <c r="BA8" s="174"/>
      <c r="BB8" s="174"/>
      <c r="BC8" s="103"/>
      <c r="BD8" s="173"/>
      <c r="BE8" s="103"/>
      <c r="BF8" s="103"/>
      <c r="BG8" s="103"/>
      <c r="BH8" s="103"/>
      <c r="BI8" s="103"/>
      <c r="BJ8" s="103"/>
      <c r="BK8" s="103"/>
      <c r="BL8" s="103"/>
      <c r="BM8" s="103"/>
      <c r="BN8" s="103"/>
      <c r="BO8" s="103"/>
      <c r="BP8" s="103"/>
      <c r="BQ8" s="103"/>
      <c r="BR8" s="103"/>
      <c r="BS8" s="103"/>
      <c r="BT8" s="103"/>
    </row>
    <row r="9">
      <c r="A9" s="175" t="s">
        <v>9</v>
      </c>
      <c r="B9" s="105">
        <v>2005.0</v>
      </c>
      <c r="C9" s="105">
        <f t="shared" ref="C9:BT9" si="1">B9+1</f>
        <v>2006</v>
      </c>
      <c r="D9" s="105">
        <f t="shared" si="1"/>
        <v>2007</v>
      </c>
      <c r="E9" s="105">
        <f t="shared" si="1"/>
        <v>2008</v>
      </c>
      <c r="F9" s="105">
        <f t="shared" si="1"/>
        <v>2009</v>
      </c>
      <c r="G9" s="105">
        <f t="shared" si="1"/>
        <v>2010</v>
      </c>
      <c r="H9" s="105">
        <f t="shared" si="1"/>
        <v>2011</v>
      </c>
      <c r="I9" s="105">
        <f t="shared" si="1"/>
        <v>2012</v>
      </c>
      <c r="J9" s="105">
        <f t="shared" si="1"/>
        <v>2013</v>
      </c>
      <c r="K9" s="176">
        <f t="shared" si="1"/>
        <v>2014</v>
      </c>
      <c r="L9" s="105">
        <f t="shared" si="1"/>
        <v>2015</v>
      </c>
      <c r="M9" s="105">
        <f t="shared" si="1"/>
        <v>2016</v>
      </c>
      <c r="N9" s="105">
        <f t="shared" si="1"/>
        <v>2017</v>
      </c>
      <c r="O9" s="105">
        <f t="shared" si="1"/>
        <v>2018</v>
      </c>
      <c r="P9" s="105">
        <f t="shared" si="1"/>
        <v>2019</v>
      </c>
      <c r="Q9" s="105">
        <f t="shared" si="1"/>
        <v>2020</v>
      </c>
      <c r="R9" s="105">
        <f t="shared" si="1"/>
        <v>2021</v>
      </c>
      <c r="S9" s="105">
        <f t="shared" si="1"/>
        <v>2022</v>
      </c>
      <c r="T9" s="105">
        <f t="shared" si="1"/>
        <v>2023</v>
      </c>
      <c r="U9" s="105">
        <f t="shared" si="1"/>
        <v>2024</v>
      </c>
      <c r="V9" s="105">
        <f t="shared" si="1"/>
        <v>2025</v>
      </c>
      <c r="W9" s="105">
        <f t="shared" si="1"/>
        <v>2026</v>
      </c>
      <c r="X9" s="105">
        <f t="shared" si="1"/>
        <v>2027</v>
      </c>
      <c r="Y9" s="105">
        <f t="shared" si="1"/>
        <v>2028</v>
      </c>
      <c r="Z9" s="105">
        <f t="shared" si="1"/>
        <v>2029</v>
      </c>
      <c r="AA9" s="105">
        <f t="shared" si="1"/>
        <v>2030</v>
      </c>
      <c r="AB9" s="105">
        <f t="shared" si="1"/>
        <v>2031</v>
      </c>
      <c r="AC9" s="105">
        <f t="shared" si="1"/>
        <v>2032</v>
      </c>
      <c r="AD9" s="105">
        <f t="shared" si="1"/>
        <v>2033</v>
      </c>
      <c r="AE9" s="105">
        <f t="shared" si="1"/>
        <v>2034</v>
      </c>
      <c r="AF9" s="105">
        <f t="shared" si="1"/>
        <v>2035</v>
      </c>
      <c r="AG9" s="105">
        <f t="shared" si="1"/>
        <v>2036</v>
      </c>
      <c r="AH9" s="105">
        <f t="shared" si="1"/>
        <v>2037</v>
      </c>
      <c r="AI9" s="105">
        <f t="shared" si="1"/>
        <v>2038</v>
      </c>
      <c r="AJ9" s="105">
        <f t="shared" si="1"/>
        <v>2039</v>
      </c>
      <c r="AK9" s="105">
        <f t="shared" si="1"/>
        <v>2040</v>
      </c>
      <c r="AL9" s="105">
        <f t="shared" si="1"/>
        <v>2041</v>
      </c>
      <c r="AM9" s="105">
        <f t="shared" si="1"/>
        <v>2042</v>
      </c>
      <c r="AN9" s="105">
        <f t="shared" si="1"/>
        <v>2043</v>
      </c>
      <c r="AO9" s="105">
        <f t="shared" si="1"/>
        <v>2044</v>
      </c>
      <c r="AP9" s="105">
        <f t="shared" si="1"/>
        <v>2045</v>
      </c>
      <c r="AQ9" s="105">
        <f t="shared" si="1"/>
        <v>2046</v>
      </c>
      <c r="AR9" s="105">
        <f t="shared" si="1"/>
        <v>2047</v>
      </c>
      <c r="AS9" s="105">
        <f t="shared" si="1"/>
        <v>2048</v>
      </c>
      <c r="AT9" s="105">
        <f t="shared" si="1"/>
        <v>2049</v>
      </c>
      <c r="AU9" s="105">
        <f t="shared" si="1"/>
        <v>2050</v>
      </c>
      <c r="AV9" s="105">
        <f t="shared" si="1"/>
        <v>2051</v>
      </c>
      <c r="AW9" s="105">
        <f t="shared" si="1"/>
        <v>2052</v>
      </c>
      <c r="AX9" s="105">
        <f t="shared" si="1"/>
        <v>2053</v>
      </c>
      <c r="AY9" s="105">
        <f t="shared" si="1"/>
        <v>2054</v>
      </c>
      <c r="AZ9" s="105">
        <f t="shared" si="1"/>
        <v>2055</v>
      </c>
      <c r="BA9" s="105">
        <f t="shared" si="1"/>
        <v>2056</v>
      </c>
      <c r="BB9" s="105">
        <f t="shared" si="1"/>
        <v>2057</v>
      </c>
      <c r="BC9" s="105">
        <f t="shared" si="1"/>
        <v>2058</v>
      </c>
      <c r="BD9" s="105">
        <f t="shared" si="1"/>
        <v>2059</v>
      </c>
      <c r="BE9" s="105">
        <f t="shared" si="1"/>
        <v>2060</v>
      </c>
      <c r="BF9" s="105">
        <f t="shared" si="1"/>
        <v>2061</v>
      </c>
      <c r="BG9" s="105">
        <f t="shared" si="1"/>
        <v>2062</v>
      </c>
      <c r="BH9" s="105">
        <f t="shared" si="1"/>
        <v>2063</v>
      </c>
      <c r="BI9" s="105">
        <f t="shared" si="1"/>
        <v>2064</v>
      </c>
      <c r="BJ9" s="105">
        <f t="shared" si="1"/>
        <v>2065</v>
      </c>
      <c r="BK9" s="105">
        <f t="shared" si="1"/>
        <v>2066</v>
      </c>
      <c r="BL9" s="105">
        <f t="shared" si="1"/>
        <v>2067</v>
      </c>
      <c r="BM9" s="105">
        <f t="shared" si="1"/>
        <v>2068</v>
      </c>
      <c r="BN9" s="105">
        <f t="shared" si="1"/>
        <v>2069</v>
      </c>
      <c r="BO9" s="105">
        <f t="shared" si="1"/>
        <v>2070</v>
      </c>
      <c r="BP9" s="105">
        <f t="shared" si="1"/>
        <v>2071</v>
      </c>
      <c r="BQ9" s="105">
        <f t="shared" si="1"/>
        <v>2072</v>
      </c>
      <c r="BR9" s="105">
        <f t="shared" si="1"/>
        <v>2073</v>
      </c>
      <c r="BS9" s="105">
        <f t="shared" si="1"/>
        <v>2074</v>
      </c>
      <c r="BT9" s="105">
        <f t="shared" si="1"/>
        <v>2075</v>
      </c>
    </row>
    <row r="10">
      <c r="A10" s="177" t="s">
        <v>96</v>
      </c>
      <c r="B10" s="178"/>
      <c r="C10" s="178"/>
      <c r="D10" s="178"/>
      <c r="E10" s="178"/>
      <c r="F10" s="178"/>
      <c r="G10" s="178"/>
      <c r="H10" s="178"/>
      <c r="I10" s="178"/>
      <c r="J10" s="178"/>
      <c r="K10" s="177"/>
      <c r="L10" s="178"/>
      <c r="M10" s="178"/>
      <c r="N10" s="178"/>
      <c r="O10" s="178"/>
      <c r="P10" s="178"/>
      <c r="Q10" s="178"/>
      <c r="R10" s="178"/>
      <c r="S10" s="178"/>
      <c r="T10" s="178">
        <v>55.0</v>
      </c>
      <c r="U10" s="178">
        <v>56.0</v>
      </c>
      <c r="V10" s="178">
        <v>57.0</v>
      </c>
      <c r="W10" s="178">
        <v>58.0</v>
      </c>
      <c r="X10" s="178">
        <v>59.0</v>
      </c>
      <c r="Y10" s="178">
        <v>60.0</v>
      </c>
      <c r="Z10" s="178">
        <v>61.0</v>
      </c>
      <c r="AA10" s="178">
        <v>62.0</v>
      </c>
      <c r="AB10" s="178">
        <v>63.0</v>
      </c>
      <c r="AC10" s="178">
        <v>64.0</v>
      </c>
      <c r="AD10" s="178">
        <v>65.0</v>
      </c>
      <c r="AE10" s="178">
        <v>66.0</v>
      </c>
      <c r="AF10" s="178">
        <v>67.0</v>
      </c>
      <c r="AG10" s="178">
        <v>68.0</v>
      </c>
      <c r="AH10" s="178">
        <v>69.0</v>
      </c>
      <c r="AI10" s="178">
        <v>70.0</v>
      </c>
      <c r="AJ10" s="178">
        <v>71.0</v>
      </c>
      <c r="AK10" s="178">
        <v>72.0</v>
      </c>
      <c r="AL10" s="178">
        <v>73.0</v>
      </c>
      <c r="AM10" s="178">
        <v>74.0</v>
      </c>
      <c r="AN10" s="178">
        <v>75.0</v>
      </c>
      <c r="AO10" s="178">
        <v>76.0</v>
      </c>
      <c r="AP10" s="178">
        <v>77.0</v>
      </c>
      <c r="AQ10" s="178">
        <v>78.0</v>
      </c>
      <c r="AR10" s="178">
        <v>79.0</v>
      </c>
      <c r="AS10" s="178">
        <v>80.0</v>
      </c>
      <c r="AT10" s="178">
        <v>81.0</v>
      </c>
      <c r="AU10" s="178">
        <v>82.0</v>
      </c>
      <c r="AV10" s="178">
        <v>83.0</v>
      </c>
      <c r="AW10" s="178">
        <v>84.0</v>
      </c>
      <c r="AX10" s="178">
        <v>85.0</v>
      </c>
      <c r="AY10" s="178">
        <v>86.0</v>
      </c>
      <c r="AZ10" s="178">
        <v>87.0</v>
      </c>
      <c r="BA10" s="178">
        <v>88.0</v>
      </c>
      <c r="BB10" s="178">
        <v>89.0</v>
      </c>
      <c r="BC10" s="178"/>
      <c r="BD10" s="178"/>
      <c r="BE10" s="178"/>
      <c r="BF10" s="179"/>
      <c r="BG10" s="179"/>
      <c r="BH10" s="179"/>
      <c r="BI10" s="179"/>
      <c r="BJ10" s="179"/>
      <c r="BK10" s="179"/>
      <c r="BL10" s="179"/>
      <c r="BM10" s="179"/>
      <c r="BN10" s="179"/>
      <c r="BO10" s="179"/>
      <c r="BP10" s="179"/>
      <c r="BQ10" s="179"/>
      <c r="BR10" s="179"/>
      <c r="BS10" s="179"/>
      <c r="BT10" s="179"/>
    </row>
    <row r="11">
      <c r="A11" s="177" t="s">
        <v>97</v>
      </c>
      <c r="B11" s="178"/>
      <c r="C11" s="178"/>
      <c r="D11" s="178"/>
      <c r="E11" s="178"/>
      <c r="F11" s="178"/>
      <c r="G11" s="178"/>
      <c r="H11" s="178"/>
      <c r="I11" s="178"/>
      <c r="J11" s="178"/>
      <c r="K11" s="177"/>
      <c r="L11" s="178"/>
      <c r="M11" s="178"/>
      <c r="N11" s="178"/>
      <c r="O11" s="178"/>
      <c r="P11" s="178"/>
      <c r="Q11" s="178"/>
      <c r="R11" s="178"/>
      <c r="S11" s="178"/>
      <c r="T11" s="178"/>
      <c r="U11" s="178">
        <v>55.0</v>
      </c>
      <c r="V11" s="178">
        <v>56.0</v>
      </c>
      <c r="W11" s="178">
        <v>57.0</v>
      </c>
      <c r="X11" s="178">
        <v>58.0</v>
      </c>
      <c r="Y11" s="178">
        <v>59.0</v>
      </c>
      <c r="Z11" s="178">
        <v>60.0</v>
      </c>
      <c r="AA11" s="178">
        <v>61.0</v>
      </c>
      <c r="AB11" s="178">
        <v>62.0</v>
      </c>
      <c r="AC11" s="178">
        <v>63.0</v>
      </c>
      <c r="AD11" s="178">
        <v>64.0</v>
      </c>
      <c r="AE11" s="178">
        <v>65.0</v>
      </c>
      <c r="AF11" s="178">
        <v>66.0</v>
      </c>
      <c r="AG11" s="178">
        <v>67.0</v>
      </c>
      <c r="AH11" s="178">
        <v>68.0</v>
      </c>
      <c r="AI11" s="178">
        <v>69.0</v>
      </c>
      <c r="AJ11" s="178">
        <v>70.0</v>
      </c>
      <c r="AK11" s="178">
        <v>71.0</v>
      </c>
      <c r="AL11" s="178">
        <v>72.0</v>
      </c>
      <c r="AM11" s="178">
        <v>73.0</v>
      </c>
      <c r="AN11" s="178">
        <v>74.0</v>
      </c>
      <c r="AO11" s="178">
        <v>75.0</v>
      </c>
      <c r="AP11" s="178">
        <v>76.0</v>
      </c>
      <c r="AQ11" s="178">
        <v>77.0</v>
      </c>
      <c r="AR11" s="178">
        <v>78.0</v>
      </c>
      <c r="AS11" s="178">
        <v>79.0</v>
      </c>
      <c r="AT11" s="178">
        <v>80.0</v>
      </c>
      <c r="AU11" s="178">
        <v>81.0</v>
      </c>
      <c r="AV11" s="178">
        <v>82.0</v>
      </c>
      <c r="AW11" s="178">
        <v>83.0</v>
      </c>
      <c r="AX11" s="178">
        <v>84.0</v>
      </c>
      <c r="AY11" s="178">
        <v>85.0</v>
      </c>
      <c r="AZ11" s="178">
        <v>86.0</v>
      </c>
      <c r="BA11" s="178">
        <v>87.0</v>
      </c>
      <c r="BB11" s="178">
        <v>88.0</v>
      </c>
      <c r="BC11" s="178"/>
      <c r="BD11" s="178"/>
      <c r="BE11" s="178"/>
      <c r="BF11" s="179"/>
      <c r="BG11" s="179"/>
      <c r="BH11" s="179"/>
      <c r="BI11" s="179"/>
      <c r="BJ11" s="179"/>
      <c r="BK11" s="179"/>
      <c r="BL11" s="179"/>
      <c r="BM11" s="179"/>
      <c r="BN11" s="179"/>
      <c r="BO11" s="179"/>
      <c r="BP11" s="179"/>
      <c r="BQ11" s="179"/>
      <c r="BR11" s="179"/>
      <c r="BS11" s="179"/>
      <c r="BT11" s="179"/>
    </row>
    <row r="12">
      <c r="A12" s="180" t="s">
        <v>98</v>
      </c>
      <c r="B12" s="92"/>
      <c r="C12" s="92"/>
      <c r="D12" s="92"/>
      <c r="E12" s="92"/>
      <c r="F12" s="92"/>
      <c r="G12" s="92"/>
      <c r="H12" s="92"/>
      <c r="I12" s="92"/>
      <c r="J12" s="92"/>
      <c r="K12" s="92"/>
      <c r="L12" s="92"/>
      <c r="M12" s="92"/>
      <c r="N12" s="92"/>
      <c r="O12" s="92"/>
      <c r="P12" s="92"/>
      <c r="Q12" s="92"/>
      <c r="R12" s="92"/>
      <c r="S12" s="92"/>
      <c r="T12" s="92"/>
      <c r="U12" s="92"/>
      <c r="V12" s="92"/>
      <c r="W12" s="92"/>
      <c r="X12" s="92"/>
      <c r="Y12" s="92"/>
      <c r="Z12" s="92"/>
      <c r="AA12" s="92"/>
      <c r="AB12" s="92"/>
      <c r="AC12" s="92"/>
      <c r="AD12" s="92"/>
      <c r="AE12" s="92"/>
      <c r="AF12" s="92"/>
      <c r="AG12" s="92"/>
      <c r="AH12" s="92"/>
      <c r="AI12" s="92"/>
      <c r="AJ12" s="92"/>
      <c r="AK12" s="92"/>
      <c r="AL12" s="92"/>
      <c r="AM12" s="92"/>
      <c r="AN12" s="92"/>
      <c r="AO12" s="92"/>
      <c r="AP12" s="92"/>
      <c r="AQ12" s="92"/>
      <c r="AR12" s="92"/>
      <c r="AS12" s="92"/>
      <c r="AT12" s="92"/>
      <c r="AU12" s="92"/>
      <c r="AV12" s="92"/>
      <c r="AW12" s="92"/>
      <c r="AX12" s="92"/>
      <c r="AY12" s="92"/>
      <c r="AZ12" s="92"/>
      <c r="BA12" s="92"/>
      <c r="BB12" s="92"/>
      <c r="BC12" s="92"/>
      <c r="BD12" s="92"/>
      <c r="BE12" s="92"/>
      <c r="BF12" s="92"/>
      <c r="BG12" s="92"/>
      <c r="BH12" s="92"/>
      <c r="BI12" s="92"/>
      <c r="BJ12" s="92"/>
      <c r="BK12" s="181"/>
      <c r="BL12" s="181"/>
      <c r="BM12" s="181"/>
      <c r="BN12" s="181"/>
      <c r="BO12" s="181"/>
      <c r="BP12" s="181"/>
      <c r="BQ12" s="181"/>
      <c r="BR12" s="181"/>
      <c r="BS12" s="181"/>
      <c r="BT12" s="181"/>
    </row>
    <row r="13">
      <c r="A13" s="182" t="s">
        <v>99</v>
      </c>
      <c r="B13" s="92"/>
      <c r="C13" s="92"/>
      <c r="D13" s="92"/>
      <c r="E13" s="92"/>
      <c r="F13" s="92"/>
      <c r="G13" s="92"/>
      <c r="H13" s="92"/>
      <c r="I13" s="92"/>
      <c r="J13" s="92"/>
      <c r="K13" s="92"/>
      <c r="L13" s="92"/>
      <c r="M13" s="92"/>
      <c r="N13" s="92"/>
      <c r="O13" s="92"/>
      <c r="P13" s="92"/>
      <c r="Q13" s="92"/>
      <c r="R13" s="92"/>
      <c r="S13" s="92"/>
      <c r="T13" s="92"/>
      <c r="U13" s="92"/>
      <c r="V13" s="112"/>
      <c r="W13" s="112">
        <v>89085.25241134645</v>
      </c>
      <c r="X13" s="112">
        <v>89085.25241134645</v>
      </c>
      <c r="Y13" s="112">
        <v>89085.25241134645</v>
      </c>
      <c r="Z13" s="112">
        <v>89085.25241134646</v>
      </c>
      <c r="AA13" s="112">
        <v>89085.25241134645</v>
      </c>
      <c r="AB13" s="112">
        <v>89085.25241134645</v>
      </c>
      <c r="AC13" s="112">
        <v>89085.25241134645</v>
      </c>
      <c r="AD13" s="112">
        <v>89085.25241134645</v>
      </c>
      <c r="AE13" s="112">
        <v>89085.25241134645</v>
      </c>
      <c r="AF13" s="112">
        <v>89085.25241134645</v>
      </c>
      <c r="AG13" s="112">
        <v>89085.25241134645</v>
      </c>
      <c r="AH13" s="112">
        <v>89085.25241134645</v>
      </c>
      <c r="AI13" s="112">
        <v>71268.20192907716</v>
      </c>
      <c r="AJ13" s="112">
        <v>71268.20192907716</v>
      </c>
      <c r="AK13" s="112">
        <v>71268.20192907716</v>
      </c>
      <c r="AL13" s="112">
        <v>71268.20192907716</v>
      </c>
      <c r="AM13" s="112">
        <v>71268.20192907716</v>
      </c>
      <c r="AN13" s="112">
        <v>71268.20192907717</v>
      </c>
      <c r="AO13" s="112">
        <v>71268.20192907716</v>
      </c>
      <c r="AP13" s="112">
        <v>71268.20192907716</v>
      </c>
      <c r="AQ13" s="112">
        <v>71268.20192907716</v>
      </c>
      <c r="AR13" s="112">
        <v>71268.20192907716</v>
      </c>
      <c r="AS13" s="112">
        <v>53451.15144680785</v>
      </c>
      <c r="AT13" s="112">
        <v>53451.15144680785</v>
      </c>
      <c r="AU13" s="112">
        <v>53451.15144680785</v>
      </c>
      <c r="AV13" s="112">
        <v>53451.15144680787</v>
      </c>
      <c r="AW13" s="112">
        <v>53451.15144680787</v>
      </c>
      <c r="AX13" s="112">
        <v>53451.15144680787</v>
      </c>
      <c r="AY13" s="112">
        <v>53451.15144680785</v>
      </c>
      <c r="AZ13" s="112">
        <v>53451.15144680787</v>
      </c>
      <c r="BA13" s="112">
        <v>53451.15144680787</v>
      </c>
      <c r="BB13" s="112">
        <v>53451.15144680785</v>
      </c>
      <c r="BC13" s="112"/>
      <c r="BD13" s="112"/>
      <c r="BE13" s="112"/>
      <c r="BF13" s="112"/>
      <c r="BG13" s="112"/>
      <c r="BH13" s="112"/>
      <c r="BI13" s="112"/>
      <c r="BJ13" s="112"/>
      <c r="BK13" s="183"/>
      <c r="BL13" s="183"/>
      <c r="BM13" s="183"/>
      <c r="BN13" s="183"/>
      <c r="BO13" s="183"/>
      <c r="BP13" s="183"/>
      <c r="BQ13" s="183"/>
      <c r="BR13" s="183"/>
      <c r="BS13" s="183"/>
      <c r="BT13" s="183"/>
    </row>
    <row r="14">
      <c r="A14" s="182" t="s">
        <v>100</v>
      </c>
      <c r="B14" s="123"/>
      <c r="C14" s="123"/>
      <c r="D14" s="123"/>
      <c r="E14" s="123"/>
      <c r="F14" s="123"/>
      <c r="G14" s="123"/>
      <c r="H14" s="123"/>
      <c r="I14" s="123"/>
      <c r="J14" s="123"/>
      <c r="K14" s="123"/>
      <c r="L14" s="123"/>
      <c r="M14" s="123"/>
      <c r="N14" s="123"/>
      <c r="O14" s="123"/>
      <c r="P14" s="123"/>
      <c r="Q14" s="123"/>
      <c r="R14" s="123"/>
      <c r="S14" s="123"/>
      <c r="T14" s="123"/>
      <c r="U14" s="184"/>
      <c r="V14" s="112"/>
      <c r="W14" s="112">
        <v>18924.1</v>
      </c>
      <c r="X14" s="112">
        <v>18462.536585365855</v>
      </c>
      <c r="Y14" s="112">
        <v>18012.23081499108</v>
      </c>
      <c r="Z14" s="112">
        <v>17572.90811218642</v>
      </c>
      <c r="AA14" s="112">
        <v>19862.152531654312</v>
      </c>
      <c r="AB14" s="112">
        <v>19377.709786979816</v>
      </c>
      <c r="AC14" s="112">
        <v>18905.082719004702</v>
      </c>
      <c r="AD14" s="112">
        <v>18443.983140492393</v>
      </c>
      <c r="AE14" s="112">
        <v>17994.12989316331</v>
      </c>
      <c r="AF14" s="112">
        <v>17555.24867625689</v>
      </c>
      <c r="AG14" s="112">
        <v>30972.223673099616</v>
      </c>
      <c r="AH14" s="112">
        <v>30757.102190100104</v>
      </c>
      <c r="AI14" s="112">
        <v>30555.134381416505</v>
      </c>
      <c r="AJ14" s="112">
        <v>30366.115135122243</v>
      </c>
      <c r="AK14" s="112">
        <v>30189.846035328916</v>
      </c>
      <c r="AL14" s="112">
        <v>30026.135223648427</v>
      </c>
      <c r="AM14" s="112">
        <v>29874.797264396704</v>
      </c>
      <c r="AN14" s="112">
        <v>29735.65301345308</v>
      </c>
      <c r="AO14" s="112">
        <v>29608.529490691562</v>
      </c>
      <c r="AP14" s="112">
        <v>29493.259755902298</v>
      </c>
      <c r="AQ14" s="112">
        <v>29389.68278812371</v>
      </c>
      <c r="AR14" s="112">
        <v>29297.643368307723</v>
      </c>
      <c r="AS14" s="112">
        <v>29216.99196524239</v>
      </c>
      <c r="AT14" s="112">
        <v>29147.58462465847</v>
      </c>
      <c r="AU14" s="112">
        <v>29089.282861447962</v>
      </c>
      <c r="AV14" s="112">
        <v>29041.953554924825</v>
      </c>
      <c r="AW14" s="112">
        <v>29005.468847059536</v>
      </c>
      <c r="AX14" s="112">
        <v>28979.70604362134</v>
      </c>
      <c r="AY14" s="112">
        <v>28964.547518163286</v>
      </c>
      <c r="AZ14" s="112">
        <v>28959.880618787138</v>
      </c>
      <c r="BA14" s="112">
        <v>28965.597577626737</v>
      </c>
      <c r="BB14" s="112">
        <v>28981.595422990013</v>
      </c>
      <c r="BC14" s="112"/>
      <c r="BD14" s="112"/>
      <c r="BE14" s="112"/>
      <c r="BF14" s="112"/>
      <c r="BG14" s="112"/>
      <c r="BH14" s="112"/>
      <c r="BI14" s="112"/>
      <c r="BJ14" s="112"/>
      <c r="BK14" s="112"/>
      <c r="BL14" s="112"/>
      <c r="BM14" s="112"/>
      <c r="BN14" s="112"/>
      <c r="BO14" s="112"/>
      <c r="BP14" s="112"/>
      <c r="BQ14" s="112"/>
      <c r="BR14" s="112"/>
      <c r="BS14" s="112"/>
      <c r="BT14" s="112"/>
    </row>
    <row r="15">
      <c r="A15" s="185" t="s">
        <v>101</v>
      </c>
      <c r="B15" s="186"/>
      <c r="C15" s="186"/>
      <c r="D15" s="186"/>
      <c r="E15" s="186"/>
      <c r="F15" s="186"/>
      <c r="G15" s="186"/>
      <c r="H15" s="186"/>
      <c r="I15" s="186"/>
      <c r="J15" s="186"/>
      <c r="K15" s="186"/>
      <c r="L15" s="186"/>
      <c r="M15" s="186"/>
      <c r="N15" s="186"/>
      <c r="O15" s="186"/>
      <c r="P15" s="186"/>
      <c r="Q15" s="186"/>
      <c r="R15" s="186"/>
      <c r="S15" s="186"/>
      <c r="T15" s="186"/>
      <c r="U15" s="186"/>
      <c r="V15" s="187" t="str">
        <f t="shared" ref="V15:BT15" si="2">if(OR(V13&gt;0,V14&gt;0),sum(V13:V14),)</f>
        <v/>
      </c>
      <c r="W15" s="187">
        <f t="shared" si="2"/>
        <v>108009.3524</v>
      </c>
      <c r="X15" s="187">
        <f t="shared" si="2"/>
        <v>107547.789</v>
      </c>
      <c r="Y15" s="187">
        <f t="shared" si="2"/>
        <v>107097.4832</v>
      </c>
      <c r="Z15" s="187">
        <f t="shared" si="2"/>
        <v>106658.1605</v>
      </c>
      <c r="AA15" s="187">
        <f t="shared" si="2"/>
        <v>108947.4049</v>
      </c>
      <c r="AB15" s="187">
        <f t="shared" si="2"/>
        <v>108462.9622</v>
      </c>
      <c r="AC15" s="187">
        <f t="shared" si="2"/>
        <v>107990.3351</v>
      </c>
      <c r="AD15" s="187">
        <f t="shared" si="2"/>
        <v>107529.2356</v>
      </c>
      <c r="AE15" s="187">
        <f t="shared" si="2"/>
        <v>107079.3823</v>
      </c>
      <c r="AF15" s="187">
        <f t="shared" si="2"/>
        <v>106640.5011</v>
      </c>
      <c r="AG15" s="187">
        <f t="shared" si="2"/>
        <v>120057.4761</v>
      </c>
      <c r="AH15" s="187">
        <f t="shared" si="2"/>
        <v>119842.3546</v>
      </c>
      <c r="AI15" s="187">
        <f t="shared" si="2"/>
        <v>101823.3363</v>
      </c>
      <c r="AJ15" s="187">
        <f t="shared" si="2"/>
        <v>101634.3171</v>
      </c>
      <c r="AK15" s="187">
        <f t="shared" si="2"/>
        <v>101458.048</v>
      </c>
      <c r="AL15" s="187">
        <f t="shared" si="2"/>
        <v>101294.3372</v>
      </c>
      <c r="AM15" s="187">
        <f t="shared" si="2"/>
        <v>101142.9992</v>
      </c>
      <c r="AN15" s="187">
        <f t="shared" si="2"/>
        <v>101003.8549</v>
      </c>
      <c r="AO15" s="187">
        <f t="shared" si="2"/>
        <v>100876.7314</v>
      </c>
      <c r="AP15" s="187">
        <f t="shared" si="2"/>
        <v>100761.4617</v>
      </c>
      <c r="AQ15" s="187">
        <f t="shared" si="2"/>
        <v>100657.8847</v>
      </c>
      <c r="AR15" s="187">
        <f t="shared" si="2"/>
        <v>100565.8453</v>
      </c>
      <c r="AS15" s="187">
        <f t="shared" si="2"/>
        <v>82668.14341</v>
      </c>
      <c r="AT15" s="187">
        <f t="shared" si="2"/>
        <v>82598.73607</v>
      </c>
      <c r="AU15" s="187">
        <f t="shared" si="2"/>
        <v>82540.43431</v>
      </c>
      <c r="AV15" s="187">
        <f t="shared" si="2"/>
        <v>82493.105</v>
      </c>
      <c r="AW15" s="187">
        <f t="shared" si="2"/>
        <v>82456.62029</v>
      </c>
      <c r="AX15" s="187">
        <f t="shared" si="2"/>
        <v>82430.85749</v>
      </c>
      <c r="AY15" s="187">
        <f t="shared" si="2"/>
        <v>82415.69896</v>
      </c>
      <c r="AZ15" s="187">
        <f t="shared" si="2"/>
        <v>82411.03207</v>
      </c>
      <c r="BA15" s="187">
        <f t="shared" si="2"/>
        <v>82416.74902</v>
      </c>
      <c r="BB15" s="187">
        <f t="shared" si="2"/>
        <v>82432.74687</v>
      </c>
      <c r="BC15" s="187" t="str">
        <f t="shared" si="2"/>
        <v/>
      </c>
      <c r="BD15" s="187" t="str">
        <f t="shared" si="2"/>
        <v/>
      </c>
      <c r="BE15" s="187" t="str">
        <f t="shared" si="2"/>
        <v/>
      </c>
      <c r="BF15" s="187" t="str">
        <f t="shared" si="2"/>
        <v/>
      </c>
      <c r="BG15" s="187" t="str">
        <f t="shared" si="2"/>
        <v/>
      </c>
      <c r="BH15" s="187" t="str">
        <f t="shared" si="2"/>
        <v/>
      </c>
      <c r="BI15" s="187" t="str">
        <f t="shared" si="2"/>
        <v/>
      </c>
      <c r="BJ15" s="187" t="str">
        <f t="shared" si="2"/>
        <v/>
      </c>
      <c r="BK15" s="187" t="str">
        <f t="shared" si="2"/>
        <v/>
      </c>
      <c r="BL15" s="187" t="str">
        <f t="shared" si="2"/>
        <v/>
      </c>
      <c r="BM15" s="187" t="str">
        <f t="shared" si="2"/>
        <v/>
      </c>
      <c r="BN15" s="187" t="str">
        <f t="shared" si="2"/>
        <v/>
      </c>
      <c r="BO15" s="187" t="str">
        <f t="shared" si="2"/>
        <v/>
      </c>
      <c r="BP15" s="187" t="str">
        <f t="shared" si="2"/>
        <v/>
      </c>
      <c r="BQ15" s="187" t="str">
        <f t="shared" si="2"/>
        <v/>
      </c>
      <c r="BR15" s="187" t="str">
        <f t="shared" si="2"/>
        <v/>
      </c>
      <c r="BS15" s="187" t="str">
        <f t="shared" si="2"/>
        <v/>
      </c>
      <c r="BT15" s="187" t="str">
        <f t="shared" si="2"/>
        <v/>
      </c>
    </row>
    <row r="16">
      <c r="A16" s="182" t="s">
        <v>102</v>
      </c>
      <c r="B16" s="92"/>
      <c r="C16" s="92"/>
      <c r="D16" s="92"/>
      <c r="E16" s="92"/>
      <c r="F16" s="92"/>
      <c r="G16" s="92"/>
      <c r="H16" s="92"/>
      <c r="I16" s="92"/>
      <c r="J16" s="92"/>
      <c r="K16" s="92"/>
      <c r="L16" s="92"/>
      <c r="M16" s="92"/>
      <c r="N16" s="92"/>
      <c r="O16" s="92"/>
      <c r="P16" s="92"/>
      <c r="Q16" s="92"/>
      <c r="R16" s="92"/>
      <c r="S16" s="92"/>
      <c r="T16" s="92"/>
      <c r="U16" s="92"/>
      <c r="V16" s="115"/>
      <c r="W16" s="112">
        <v>108669.67487335205</v>
      </c>
      <c r="X16" s="112">
        <v>111386.41674518584</v>
      </c>
      <c r="Y16" s="112">
        <v>114171.07716381547</v>
      </c>
      <c r="Z16" s="112">
        <v>117025.35409291086</v>
      </c>
      <c r="AA16" s="112">
        <v>119950.9879452336</v>
      </c>
      <c r="AB16" s="112">
        <v>122949.76264386444</v>
      </c>
      <c r="AC16" s="112">
        <v>126023.50670996103</v>
      </c>
      <c r="AD16" s="112">
        <v>129174.09437771005</v>
      </c>
      <c r="AE16" s="112">
        <v>132403.4467371528</v>
      </c>
      <c r="AF16" s="112">
        <v>135713.53290558158</v>
      </c>
      <c r="AG16" s="112">
        <v>139106.3712282211</v>
      </c>
      <c r="AH16" s="112">
        <v>142584.03050892663</v>
      </c>
      <c r="AI16" s="112">
        <v>116918.90501731983</v>
      </c>
      <c r="AJ16" s="112">
        <v>119841.87764275282</v>
      </c>
      <c r="AK16" s="112">
        <v>122837.92458382163</v>
      </c>
      <c r="AL16" s="112">
        <v>125908.87269841717</v>
      </c>
      <c r="AM16" s="112">
        <v>129056.5945158776</v>
      </c>
      <c r="AN16" s="112">
        <v>132283.00937877453</v>
      </c>
      <c r="AO16" s="112">
        <v>135590.08461324387</v>
      </c>
      <c r="AP16" s="112">
        <v>138979.83672857494</v>
      </c>
      <c r="AQ16" s="112">
        <v>142454.33264678932</v>
      </c>
      <c r="AR16" s="112">
        <v>146015.69096295905</v>
      </c>
      <c r="AS16" s="112">
        <v>112249.56242777473</v>
      </c>
      <c r="AT16" s="112">
        <v>115055.80148846908</v>
      </c>
      <c r="AU16" s="112">
        <v>117932.1965256808</v>
      </c>
      <c r="AV16" s="112">
        <v>120880.50143882283</v>
      </c>
      <c r="AW16" s="112">
        <v>123902.51397479337</v>
      </c>
      <c r="AX16" s="112">
        <v>127000.0768241632</v>
      </c>
      <c r="AY16" s="112">
        <v>130175.07874476725</v>
      </c>
      <c r="AZ16" s="112">
        <v>133429.45571338644</v>
      </c>
      <c r="BA16" s="112">
        <v>136765.1921062211</v>
      </c>
      <c r="BB16" s="112">
        <v>140184.3219088766</v>
      </c>
      <c r="BC16" s="112"/>
      <c r="BD16" s="112"/>
      <c r="BE16" s="112"/>
      <c r="BF16" s="112"/>
      <c r="BG16" s="112"/>
      <c r="BH16" s="112"/>
      <c r="BI16" s="112"/>
      <c r="BJ16" s="112"/>
      <c r="BK16" s="112"/>
      <c r="BL16" s="112"/>
      <c r="BM16" s="112"/>
      <c r="BN16" s="112"/>
      <c r="BO16" s="112"/>
      <c r="BP16" s="112"/>
      <c r="BQ16" s="112"/>
      <c r="BR16" s="112"/>
      <c r="BS16" s="112"/>
      <c r="BT16" s="112"/>
    </row>
    <row r="17">
      <c r="A17" s="182" t="s">
        <v>103</v>
      </c>
      <c r="B17" s="92"/>
      <c r="C17" s="92"/>
      <c r="D17" s="92"/>
      <c r="E17" s="92"/>
      <c r="F17" s="92"/>
      <c r="G17" s="92"/>
      <c r="H17" s="92"/>
      <c r="I17" s="92"/>
      <c r="J17" s="92"/>
      <c r="K17" s="92"/>
      <c r="L17" s="92"/>
      <c r="M17" s="92"/>
      <c r="N17" s="92"/>
      <c r="O17" s="92"/>
      <c r="P17" s="92"/>
      <c r="Q17" s="92"/>
      <c r="R17" s="92"/>
      <c r="S17" s="92"/>
      <c r="T17" s="92"/>
      <c r="U17" s="92"/>
      <c r="V17" s="115"/>
      <c r="W17" s="115">
        <v>18924.1</v>
      </c>
      <c r="X17" s="115">
        <v>18924.1</v>
      </c>
      <c r="Y17" s="115">
        <v>18924.1</v>
      </c>
      <c r="Z17" s="115">
        <v>18924.1</v>
      </c>
      <c r="AA17" s="115">
        <v>21924.1</v>
      </c>
      <c r="AB17" s="115">
        <v>21924.1</v>
      </c>
      <c r="AC17" s="115">
        <v>21924.1</v>
      </c>
      <c r="AD17" s="115">
        <v>21924.1</v>
      </c>
      <c r="AE17" s="115">
        <v>21924.1</v>
      </c>
      <c r="AF17" s="115">
        <v>21924.1</v>
      </c>
      <c r="AG17" s="115">
        <v>39647.06482332733</v>
      </c>
      <c r="AH17" s="115">
        <v>40355.98341626043</v>
      </c>
      <c r="AI17" s="115">
        <v>41093.25875291085</v>
      </c>
      <c r="AJ17" s="115">
        <v>41860.025103027285</v>
      </c>
      <c r="AK17" s="115">
        <v>42657.46210714838</v>
      </c>
      <c r="AL17" s="115">
        <v>43486.796591434315</v>
      </c>
      <c r="AM17" s="115">
        <v>44349.30445509169</v>
      </c>
      <c r="AN17" s="115">
        <v>45246.312633295354</v>
      </c>
      <c r="AO17" s="115">
        <v>46179.20113862717</v>
      </c>
      <c r="AP17" s="115">
        <v>47149.40518417226</v>
      </c>
      <c r="AQ17" s="115">
        <v>48158.417391539144</v>
      </c>
      <c r="AR17" s="115">
        <v>49207.790087200716</v>
      </c>
      <c r="AS17" s="115">
        <v>50299.137690688745</v>
      </c>
      <c r="AT17" s="115">
        <v>51434.1391983163</v>
      </c>
      <c r="AU17" s="115">
        <v>52614.540766248945</v>
      </c>
      <c r="AV17" s="115">
        <v>53842.15839689891</v>
      </c>
      <c r="AW17" s="115">
        <v>55118.880732774865</v>
      </c>
      <c r="AX17" s="115">
        <v>56446.671962085864</v>
      </c>
      <c r="AY17" s="115">
        <v>57827.5748405693</v>
      </c>
      <c r="AZ17" s="115">
        <v>59263.71383419207</v>
      </c>
      <c r="BA17" s="115">
        <v>60757.29838755976</v>
      </c>
      <c r="BB17" s="115">
        <v>62310.62632306215</v>
      </c>
      <c r="BC17" s="115"/>
      <c r="BD17" s="115"/>
      <c r="BE17" s="115"/>
      <c r="BF17" s="188"/>
      <c r="BG17" s="188"/>
      <c r="BH17" s="188"/>
      <c r="BI17" s="188"/>
      <c r="BJ17" s="188"/>
      <c r="BK17" s="189"/>
      <c r="BL17" s="189"/>
      <c r="BM17" s="189"/>
      <c r="BN17" s="189"/>
      <c r="BO17" s="189"/>
      <c r="BP17" s="189"/>
      <c r="BQ17" s="189"/>
      <c r="BR17" s="189"/>
      <c r="BS17" s="137"/>
      <c r="BT17" s="137"/>
    </row>
    <row r="18">
      <c r="A18" s="185" t="s">
        <v>104</v>
      </c>
      <c r="B18" s="92"/>
      <c r="C18" s="92"/>
      <c r="D18" s="92"/>
      <c r="E18" s="92"/>
      <c r="F18" s="92"/>
      <c r="G18" s="92"/>
      <c r="H18" s="92"/>
      <c r="I18" s="92"/>
      <c r="J18" s="92"/>
      <c r="K18" s="92"/>
      <c r="L18" s="92"/>
      <c r="M18" s="92"/>
      <c r="N18" s="92"/>
      <c r="O18" s="92"/>
      <c r="P18" s="92"/>
      <c r="Q18" s="92"/>
      <c r="R18" s="92"/>
      <c r="S18" s="92"/>
      <c r="T18" s="92"/>
      <c r="U18" s="92"/>
      <c r="V18" s="187" t="str">
        <f t="shared" ref="V18:BT18" si="3">if(OR(V16&gt;0,V17&gt;0),sum(V16:V17),)</f>
        <v/>
      </c>
      <c r="W18" s="187">
        <f t="shared" si="3"/>
        <v>127593.7749</v>
      </c>
      <c r="X18" s="187">
        <f t="shared" si="3"/>
        <v>130310.5167</v>
      </c>
      <c r="Y18" s="187">
        <f t="shared" si="3"/>
        <v>133095.1772</v>
      </c>
      <c r="Z18" s="187">
        <f t="shared" si="3"/>
        <v>135949.4541</v>
      </c>
      <c r="AA18" s="187">
        <f t="shared" si="3"/>
        <v>141875.0879</v>
      </c>
      <c r="AB18" s="187">
        <f t="shared" si="3"/>
        <v>144873.8626</v>
      </c>
      <c r="AC18" s="187">
        <f t="shared" si="3"/>
        <v>147947.6067</v>
      </c>
      <c r="AD18" s="187">
        <f t="shared" si="3"/>
        <v>151098.1944</v>
      </c>
      <c r="AE18" s="187">
        <f t="shared" si="3"/>
        <v>154327.5467</v>
      </c>
      <c r="AF18" s="187">
        <f t="shared" si="3"/>
        <v>157637.6329</v>
      </c>
      <c r="AG18" s="187">
        <f t="shared" si="3"/>
        <v>178753.4361</v>
      </c>
      <c r="AH18" s="187">
        <f t="shared" si="3"/>
        <v>182940.0139</v>
      </c>
      <c r="AI18" s="187">
        <f t="shared" si="3"/>
        <v>158012.1638</v>
      </c>
      <c r="AJ18" s="187">
        <f t="shared" si="3"/>
        <v>161701.9027</v>
      </c>
      <c r="AK18" s="187">
        <f t="shared" si="3"/>
        <v>165495.3867</v>
      </c>
      <c r="AL18" s="187">
        <f t="shared" si="3"/>
        <v>169395.6693</v>
      </c>
      <c r="AM18" s="187">
        <f t="shared" si="3"/>
        <v>173405.899</v>
      </c>
      <c r="AN18" s="187">
        <f t="shared" si="3"/>
        <v>177529.322</v>
      </c>
      <c r="AO18" s="187">
        <f t="shared" si="3"/>
        <v>181769.2858</v>
      </c>
      <c r="AP18" s="187">
        <f t="shared" si="3"/>
        <v>186129.2419</v>
      </c>
      <c r="AQ18" s="187">
        <f t="shared" si="3"/>
        <v>190612.75</v>
      </c>
      <c r="AR18" s="187">
        <f t="shared" si="3"/>
        <v>195223.4811</v>
      </c>
      <c r="AS18" s="187">
        <f t="shared" si="3"/>
        <v>162548.7001</v>
      </c>
      <c r="AT18" s="187">
        <f t="shared" si="3"/>
        <v>166489.9407</v>
      </c>
      <c r="AU18" s="187">
        <f t="shared" si="3"/>
        <v>170546.7373</v>
      </c>
      <c r="AV18" s="187">
        <f t="shared" si="3"/>
        <v>174722.6598</v>
      </c>
      <c r="AW18" s="187">
        <f t="shared" si="3"/>
        <v>179021.3947</v>
      </c>
      <c r="AX18" s="187">
        <f t="shared" si="3"/>
        <v>183446.7488</v>
      </c>
      <c r="AY18" s="187">
        <f t="shared" si="3"/>
        <v>188002.6536</v>
      </c>
      <c r="AZ18" s="187">
        <f t="shared" si="3"/>
        <v>192693.1695</v>
      </c>
      <c r="BA18" s="187">
        <f t="shared" si="3"/>
        <v>197522.4905</v>
      </c>
      <c r="BB18" s="187">
        <f t="shared" si="3"/>
        <v>202494.9482</v>
      </c>
      <c r="BC18" s="187" t="str">
        <f t="shared" si="3"/>
        <v/>
      </c>
      <c r="BD18" s="187" t="str">
        <f t="shared" si="3"/>
        <v/>
      </c>
      <c r="BE18" s="187" t="str">
        <f t="shared" si="3"/>
        <v/>
      </c>
      <c r="BF18" s="187" t="str">
        <f t="shared" si="3"/>
        <v/>
      </c>
      <c r="BG18" s="187" t="str">
        <f t="shared" si="3"/>
        <v/>
      </c>
      <c r="BH18" s="187" t="str">
        <f t="shared" si="3"/>
        <v/>
      </c>
      <c r="BI18" s="187" t="str">
        <f t="shared" si="3"/>
        <v/>
      </c>
      <c r="BJ18" s="187" t="str">
        <f t="shared" si="3"/>
        <v/>
      </c>
      <c r="BK18" s="187" t="str">
        <f t="shared" si="3"/>
        <v/>
      </c>
      <c r="BL18" s="187" t="str">
        <f t="shared" si="3"/>
        <v/>
      </c>
      <c r="BM18" s="187" t="str">
        <f t="shared" si="3"/>
        <v/>
      </c>
      <c r="BN18" s="187" t="str">
        <f t="shared" si="3"/>
        <v/>
      </c>
      <c r="BO18" s="187" t="str">
        <f t="shared" si="3"/>
        <v/>
      </c>
      <c r="BP18" s="187" t="str">
        <f t="shared" si="3"/>
        <v/>
      </c>
      <c r="BQ18" s="187" t="str">
        <f t="shared" si="3"/>
        <v/>
      </c>
      <c r="BR18" s="187" t="str">
        <f t="shared" si="3"/>
        <v/>
      </c>
      <c r="BS18" s="187" t="str">
        <f t="shared" si="3"/>
        <v/>
      </c>
      <c r="BT18" s="187" t="str">
        <f t="shared" si="3"/>
        <v/>
      </c>
    </row>
    <row r="19">
      <c r="A19" s="182" t="s">
        <v>105</v>
      </c>
      <c r="B19" s="92"/>
      <c r="C19" s="92"/>
      <c r="D19" s="92"/>
      <c r="E19" s="92"/>
      <c r="F19" s="92"/>
      <c r="G19" s="92"/>
      <c r="H19" s="92"/>
      <c r="I19" s="92"/>
      <c r="J19" s="92"/>
      <c r="K19" s="92"/>
      <c r="L19" s="92"/>
      <c r="M19" s="92"/>
      <c r="N19" s="92"/>
      <c r="O19" s="92"/>
      <c r="P19" s="92"/>
      <c r="Q19" s="92"/>
      <c r="R19" s="92"/>
      <c r="S19" s="92"/>
      <c r="T19" s="92"/>
      <c r="U19" s="92"/>
      <c r="V19" s="115"/>
      <c r="W19" s="115">
        <v>19584.422462005612</v>
      </c>
      <c r="X19" s="115">
        <v>20449.445023555752</v>
      </c>
      <c r="Y19" s="115">
        <v>21336.09314914464</v>
      </c>
      <c r="Z19" s="115">
        <v>22244.90747787325</v>
      </c>
      <c r="AA19" s="115">
        <v>23176.44216482008</v>
      </c>
      <c r="AB19" s="115">
        <v>24131.265218940574</v>
      </c>
      <c r="AC19" s="115">
        <v>25109.958849414088</v>
      </c>
      <c r="AD19" s="115">
        <v>26113.119820649434</v>
      </c>
      <c r="AE19" s="115">
        <v>27141.35981616567</v>
      </c>
      <c r="AF19" s="115">
        <v>29967.60229390254</v>
      </c>
      <c r="AG19" s="115">
        <v>31118.788798485086</v>
      </c>
      <c r="AH19" s="115">
        <v>32299.818343571606</v>
      </c>
      <c r="AI19" s="115">
        <v>30719.922006927933</v>
      </c>
      <c r="AJ19" s="115">
        <v>31889.111057101127</v>
      </c>
      <c r="AK19" s="115">
        <v>33087.52983352865</v>
      </c>
      <c r="AL19" s="115">
        <v>34315.909079366866</v>
      </c>
      <c r="AM19" s="115">
        <v>35574.997806351035</v>
      </c>
      <c r="AN19" s="115">
        <v>36865.563751509806</v>
      </c>
      <c r="AO19" s="115">
        <v>38275.943075959745</v>
      </c>
      <c r="AP19" s="115">
        <v>39801.331527858725</v>
      </c>
      <c r="AQ19" s="115">
        <v>41364.85469105519</v>
      </c>
      <c r="AR19" s="115">
        <v>42967.46593333157</v>
      </c>
      <c r="AS19" s="115">
        <v>28852.184971109895</v>
      </c>
      <c r="AT19" s="115">
        <v>29974.680595387636</v>
      </c>
      <c r="AU19" s="115">
        <v>31125.238610272325</v>
      </c>
      <c r="AV19" s="115">
        <v>32304.560575529133</v>
      </c>
      <c r="AW19" s="115">
        <v>33513.36558991735</v>
      </c>
      <c r="AX19" s="115">
        <v>34752.390729665276</v>
      </c>
      <c r="AY19" s="115">
        <v>36022.39149790691</v>
      </c>
      <c r="AZ19" s="115">
        <v>37324.14228535458</v>
      </c>
      <c r="BA19" s="115">
        <v>38804.741447799504</v>
      </c>
      <c r="BB19" s="115">
        <v>40343.34985899448</v>
      </c>
      <c r="BC19" s="115"/>
      <c r="BD19" s="115"/>
      <c r="BE19" s="115"/>
      <c r="BF19" s="188"/>
      <c r="BG19" s="188"/>
      <c r="BH19" s="188"/>
      <c r="BI19" s="190"/>
      <c r="BJ19" s="190"/>
      <c r="BK19" s="137"/>
      <c r="BL19" s="137"/>
      <c r="BM19" s="137"/>
      <c r="BN19" s="137"/>
      <c r="BO19" s="137"/>
      <c r="BP19" s="137"/>
      <c r="BQ19" s="137"/>
      <c r="BR19" s="137"/>
      <c r="BS19" s="137"/>
      <c r="BT19" s="137"/>
    </row>
    <row r="20">
      <c r="A20" s="182" t="s">
        <v>106</v>
      </c>
      <c r="B20" s="92"/>
      <c r="C20" s="92"/>
      <c r="D20" s="92"/>
      <c r="E20" s="92"/>
      <c r="F20" s="92"/>
      <c r="G20" s="92"/>
      <c r="H20" s="92"/>
      <c r="I20" s="92"/>
      <c r="J20" s="92"/>
      <c r="K20" s="92"/>
      <c r="L20" s="92"/>
      <c r="M20" s="92"/>
      <c r="N20" s="92"/>
      <c r="O20" s="92"/>
      <c r="P20" s="92"/>
      <c r="Q20" s="92"/>
      <c r="R20" s="92"/>
      <c r="S20" s="92"/>
      <c r="T20" s="92"/>
      <c r="U20" s="92"/>
      <c r="V20" s="115"/>
      <c r="W20" s="115"/>
      <c r="X20" s="115"/>
      <c r="Y20" s="115"/>
      <c r="Z20" s="115"/>
      <c r="AA20" s="115">
        <v>453.498</v>
      </c>
      <c r="AB20" s="115">
        <v>453.498</v>
      </c>
      <c r="AC20" s="115">
        <v>453.498</v>
      </c>
      <c r="AD20" s="115">
        <v>453.498</v>
      </c>
      <c r="AE20" s="115">
        <v>453.498</v>
      </c>
      <c r="AF20" s="115">
        <v>453.498</v>
      </c>
      <c r="AG20" s="115">
        <v>3998.0909646654677</v>
      </c>
      <c r="AH20" s="115">
        <v>4139.8746832520865</v>
      </c>
      <c r="AI20" s="115">
        <v>4287.32975058217</v>
      </c>
      <c r="AJ20" s="115">
        <v>4440.683020605457</v>
      </c>
      <c r="AK20" s="115">
        <v>4600.170421429676</v>
      </c>
      <c r="AL20" s="115">
        <v>4766.037318286863</v>
      </c>
      <c r="AM20" s="115">
        <v>4938.538891018338</v>
      </c>
      <c r="AN20" s="115">
        <v>5117.940526659071</v>
      </c>
      <c r="AO20" s="115">
        <v>5304.518227725434</v>
      </c>
      <c r="AP20" s="115">
        <v>5498.559036834453</v>
      </c>
      <c r="AQ20" s="115">
        <v>5700.36147830783</v>
      </c>
      <c r="AR20" s="115">
        <v>5910.236017440144</v>
      </c>
      <c r="AS20" s="115">
        <v>6128.50553813775</v>
      </c>
      <c r="AT20" s="115">
        <v>6355.505839663259</v>
      </c>
      <c r="AU20" s="115">
        <v>6591.586153249791</v>
      </c>
      <c r="AV20" s="115">
        <v>6837.1096793797815</v>
      </c>
      <c r="AW20" s="115">
        <v>7092.454146554974</v>
      </c>
      <c r="AX20" s="115">
        <v>7358.012392417173</v>
      </c>
      <c r="AY20" s="115">
        <v>7728.38593622772</v>
      </c>
      <c r="AZ20" s="115">
        <v>8302.841533676828</v>
      </c>
      <c r="BA20" s="115">
        <v>8900.275355023903</v>
      </c>
      <c r="BB20" s="115">
        <v>9521.606529224859</v>
      </c>
      <c r="BC20" s="115"/>
      <c r="BD20" s="115"/>
      <c r="BE20" s="115"/>
      <c r="BF20" s="188"/>
      <c r="BG20" s="188"/>
      <c r="BH20" s="188"/>
      <c r="BI20" s="190"/>
      <c r="BJ20" s="190"/>
      <c r="BK20" s="137"/>
      <c r="BL20" s="137"/>
      <c r="BM20" s="137"/>
      <c r="BN20" s="137"/>
      <c r="BO20" s="137"/>
      <c r="BP20" s="137"/>
      <c r="BQ20" s="137"/>
      <c r="BR20" s="137"/>
      <c r="BS20" s="137"/>
      <c r="BT20" s="137"/>
    </row>
    <row r="21">
      <c r="A21" s="185" t="s">
        <v>107</v>
      </c>
      <c r="B21" s="92"/>
      <c r="C21" s="92"/>
      <c r="D21" s="92"/>
      <c r="E21" s="92"/>
      <c r="F21" s="92"/>
      <c r="G21" s="92"/>
      <c r="H21" s="92"/>
      <c r="I21" s="92"/>
      <c r="J21" s="92"/>
      <c r="K21" s="92"/>
      <c r="L21" s="92"/>
      <c r="M21" s="92"/>
      <c r="N21" s="92"/>
      <c r="O21" s="92"/>
      <c r="P21" s="92"/>
      <c r="Q21" s="92"/>
      <c r="R21" s="92"/>
      <c r="S21" s="92"/>
      <c r="T21" s="92"/>
      <c r="U21" s="92"/>
      <c r="V21" s="187" t="str">
        <f t="shared" ref="V21:BT21" si="4">if(OR(V19&gt;0,V20&gt;0),sum(V19:V20),)</f>
        <v/>
      </c>
      <c r="W21" s="187">
        <f t="shared" si="4"/>
        <v>19584.42246</v>
      </c>
      <c r="X21" s="187">
        <f t="shared" si="4"/>
        <v>20449.44502</v>
      </c>
      <c r="Y21" s="187">
        <f t="shared" si="4"/>
        <v>21336.09315</v>
      </c>
      <c r="Z21" s="187">
        <f t="shared" si="4"/>
        <v>22244.90748</v>
      </c>
      <c r="AA21" s="187">
        <f t="shared" si="4"/>
        <v>23629.94016</v>
      </c>
      <c r="AB21" s="187">
        <f t="shared" si="4"/>
        <v>24584.76322</v>
      </c>
      <c r="AC21" s="187">
        <f t="shared" si="4"/>
        <v>25563.45685</v>
      </c>
      <c r="AD21" s="187">
        <f t="shared" si="4"/>
        <v>26566.61782</v>
      </c>
      <c r="AE21" s="187">
        <f t="shared" si="4"/>
        <v>27594.85782</v>
      </c>
      <c r="AF21" s="187">
        <f t="shared" si="4"/>
        <v>30421.10029</v>
      </c>
      <c r="AG21" s="187">
        <f t="shared" si="4"/>
        <v>35116.87976</v>
      </c>
      <c r="AH21" s="187">
        <f t="shared" si="4"/>
        <v>36439.69303</v>
      </c>
      <c r="AI21" s="187">
        <f t="shared" si="4"/>
        <v>35007.25176</v>
      </c>
      <c r="AJ21" s="187">
        <f t="shared" si="4"/>
        <v>36329.79408</v>
      </c>
      <c r="AK21" s="187">
        <f t="shared" si="4"/>
        <v>37687.70025</v>
      </c>
      <c r="AL21" s="187">
        <f t="shared" si="4"/>
        <v>39081.9464</v>
      </c>
      <c r="AM21" s="187">
        <f t="shared" si="4"/>
        <v>40513.5367</v>
      </c>
      <c r="AN21" s="187">
        <f t="shared" si="4"/>
        <v>41983.50428</v>
      </c>
      <c r="AO21" s="187">
        <f t="shared" si="4"/>
        <v>43580.4613</v>
      </c>
      <c r="AP21" s="187">
        <f t="shared" si="4"/>
        <v>45299.89056</v>
      </c>
      <c r="AQ21" s="187">
        <f t="shared" si="4"/>
        <v>47065.21617</v>
      </c>
      <c r="AR21" s="187">
        <f t="shared" si="4"/>
        <v>48877.70195</v>
      </c>
      <c r="AS21" s="187">
        <f t="shared" si="4"/>
        <v>34980.69051</v>
      </c>
      <c r="AT21" s="187">
        <f t="shared" si="4"/>
        <v>36330.18644</v>
      </c>
      <c r="AU21" s="187">
        <f t="shared" si="4"/>
        <v>37716.82476</v>
      </c>
      <c r="AV21" s="187">
        <f t="shared" si="4"/>
        <v>39141.67025</v>
      </c>
      <c r="AW21" s="187">
        <f t="shared" si="4"/>
        <v>40605.81974</v>
      </c>
      <c r="AX21" s="187">
        <f t="shared" si="4"/>
        <v>42110.40312</v>
      </c>
      <c r="AY21" s="187">
        <f t="shared" si="4"/>
        <v>43750.77743</v>
      </c>
      <c r="AZ21" s="187">
        <f t="shared" si="4"/>
        <v>45626.98382</v>
      </c>
      <c r="BA21" s="187">
        <f t="shared" si="4"/>
        <v>47705.0168</v>
      </c>
      <c r="BB21" s="187">
        <f t="shared" si="4"/>
        <v>49864.95639</v>
      </c>
      <c r="BC21" s="187" t="str">
        <f t="shared" si="4"/>
        <v/>
      </c>
      <c r="BD21" s="187" t="str">
        <f t="shared" si="4"/>
        <v/>
      </c>
      <c r="BE21" s="187" t="str">
        <f t="shared" si="4"/>
        <v/>
      </c>
      <c r="BF21" s="187" t="str">
        <f t="shared" si="4"/>
        <v/>
      </c>
      <c r="BG21" s="187" t="str">
        <f t="shared" si="4"/>
        <v/>
      </c>
      <c r="BH21" s="187" t="str">
        <f t="shared" si="4"/>
        <v/>
      </c>
      <c r="BI21" s="187" t="str">
        <f t="shared" si="4"/>
        <v/>
      </c>
      <c r="BJ21" s="187" t="str">
        <f t="shared" si="4"/>
        <v/>
      </c>
      <c r="BK21" s="187" t="str">
        <f t="shared" si="4"/>
        <v/>
      </c>
      <c r="BL21" s="187" t="str">
        <f t="shared" si="4"/>
        <v/>
      </c>
      <c r="BM21" s="187" t="str">
        <f t="shared" si="4"/>
        <v/>
      </c>
      <c r="BN21" s="187" t="str">
        <f t="shared" si="4"/>
        <v/>
      </c>
      <c r="BO21" s="187" t="str">
        <f t="shared" si="4"/>
        <v/>
      </c>
      <c r="BP21" s="187" t="str">
        <f t="shared" si="4"/>
        <v/>
      </c>
      <c r="BQ21" s="187" t="str">
        <f t="shared" si="4"/>
        <v/>
      </c>
      <c r="BR21" s="187" t="str">
        <f t="shared" si="4"/>
        <v/>
      </c>
      <c r="BS21" s="187" t="str">
        <f t="shared" si="4"/>
        <v/>
      </c>
      <c r="BT21" s="187" t="str">
        <f t="shared" si="4"/>
        <v/>
      </c>
    </row>
    <row r="22">
      <c r="A22" s="182" t="s">
        <v>108</v>
      </c>
      <c r="B22" s="92"/>
      <c r="C22" s="92"/>
      <c r="D22" s="92"/>
      <c r="E22" s="92"/>
      <c r="F22" s="92"/>
      <c r="G22" s="92"/>
      <c r="H22" s="92"/>
      <c r="I22" s="92"/>
      <c r="J22" s="92"/>
      <c r="K22" s="92"/>
      <c r="L22" s="92"/>
      <c r="M22" s="92"/>
      <c r="N22" s="92"/>
      <c r="O22" s="92"/>
      <c r="P22" s="92"/>
      <c r="Q22" s="92"/>
      <c r="R22" s="92"/>
      <c r="S22" s="92"/>
      <c r="T22" s="92"/>
      <c r="U22" s="92"/>
      <c r="V22" s="115"/>
      <c r="W22" s="115">
        <v>89085.25241134645</v>
      </c>
      <c r="X22" s="115">
        <v>90936.97172163008</v>
      </c>
      <c r="Y22" s="115">
        <v>92834.98401467083</v>
      </c>
      <c r="Z22" s="115">
        <v>94780.44661503761</v>
      </c>
      <c r="AA22" s="115">
        <v>96774.54578041352</v>
      </c>
      <c r="AB22" s="115">
        <v>98818.49742492386</v>
      </c>
      <c r="AC22" s="115">
        <v>100913.54786054694</v>
      </c>
      <c r="AD22" s="115">
        <v>103060.97455706062</v>
      </c>
      <c r="AE22" s="115">
        <v>105262.08692098712</v>
      </c>
      <c r="AF22" s="115">
        <v>105745.93061167904</v>
      </c>
      <c r="AG22" s="115">
        <v>107987.58242973602</v>
      </c>
      <c r="AH22" s="115">
        <v>110284.21216535503</v>
      </c>
      <c r="AI22" s="115">
        <v>86198.98301039191</v>
      </c>
      <c r="AJ22" s="115">
        <v>87952.7665856517</v>
      </c>
      <c r="AK22" s="115">
        <v>89750.39475029298</v>
      </c>
      <c r="AL22" s="115">
        <v>91592.96361905031</v>
      </c>
      <c r="AM22" s="115">
        <v>93481.59670952657</v>
      </c>
      <c r="AN22" s="115">
        <v>95417.44562726472</v>
      </c>
      <c r="AO22" s="115">
        <v>97314.14153728413</v>
      </c>
      <c r="AP22" s="115">
        <v>99178.50520071622</v>
      </c>
      <c r="AQ22" s="115">
        <v>101089.47795573412</v>
      </c>
      <c r="AR22" s="115">
        <v>103048.22502962747</v>
      </c>
      <c r="AS22" s="115">
        <v>83397.37745666484</v>
      </c>
      <c r="AT22" s="115">
        <v>85081.12089308145</v>
      </c>
      <c r="AU22" s="115">
        <v>86806.95791540848</v>
      </c>
      <c r="AV22" s="115">
        <v>88575.9408632937</v>
      </c>
      <c r="AW22" s="115">
        <v>90389.14838487603</v>
      </c>
      <c r="AX22" s="115">
        <v>92247.68609449793</v>
      </c>
      <c r="AY22" s="115">
        <v>94152.68724686034</v>
      </c>
      <c r="AZ22" s="115">
        <v>96105.31342803186</v>
      </c>
      <c r="BA22" s="115">
        <v>97960.4506584216</v>
      </c>
      <c r="BB22" s="115">
        <v>99840.97204988211</v>
      </c>
      <c r="BC22" s="115"/>
      <c r="BD22" s="115"/>
      <c r="BE22" s="115"/>
      <c r="BF22" s="115"/>
      <c r="BG22" s="115"/>
      <c r="BH22" s="115"/>
      <c r="BI22" s="115"/>
      <c r="BJ22" s="115"/>
      <c r="BK22" s="189"/>
      <c r="BL22" s="189"/>
      <c r="BM22" s="189"/>
      <c r="BN22" s="189"/>
      <c r="BO22" s="137"/>
      <c r="BP22" s="137"/>
      <c r="BQ22" s="137"/>
      <c r="BR22" s="137"/>
      <c r="BS22" s="137"/>
      <c r="BT22" s="137"/>
    </row>
    <row r="23">
      <c r="A23" s="182" t="s">
        <v>109</v>
      </c>
      <c r="B23" s="123"/>
      <c r="C23" s="123"/>
      <c r="D23" s="123"/>
      <c r="E23" s="123"/>
      <c r="F23" s="123"/>
      <c r="G23" s="123"/>
      <c r="H23" s="123"/>
      <c r="I23" s="123"/>
      <c r="J23" s="123"/>
      <c r="K23" s="123"/>
      <c r="L23" s="123"/>
      <c r="M23" s="123"/>
      <c r="N23" s="123"/>
      <c r="O23" s="123"/>
      <c r="P23" s="123"/>
      <c r="Q23" s="123"/>
      <c r="R23" s="123"/>
      <c r="S23" s="123"/>
      <c r="T23" s="123"/>
      <c r="U23" s="123"/>
      <c r="V23" s="115"/>
      <c r="W23" s="115">
        <v>18924.1</v>
      </c>
      <c r="X23" s="115">
        <v>18924.1</v>
      </c>
      <c r="Y23" s="115">
        <v>18924.1</v>
      </c>
      <c r="Z23" s="115">
        <v>18924.1</v>
      </c>
      <c r="AA23" s="115">
        <v>21470.602</v>
      </c>
      <c r="AB23" s="115">
        <v>21470.602</v>
      </c>
      <c r="AC23" s="115">
        <v>21470.602</v>
      </c>
      <c r="AD23" s="115">
        <v>21470.602</v>
      </c>
      <c r="AE23" s="115">
        <v>21470.602</v>
      </c>
      <c r="AF23" s="115">
        <v>21470.602</v>
      </c>
      <c r="AG23" s="115">
        <v>35648.97385866186</v>
      </c>
      <c r="AH23" s="115">
        <v>36216.10873300835</v>
      </c>
      <c r="AI23" s="115">
        <v>36805.92900232868</v>
      </c>
      <c r="AJ23" s="115">
        <v>37419.34208242183</v>
      </c>
      <c r="AK23" s="115">
        <v>38057.2916857187</v>
      </c>
      <c r="AL23" s="115">
        <v>38720.75927314745</v>
      </c>
      <c r="AM23" s="115">
        <v>39410.76556407335</v>
      </c>
      <c r="AN23" s="115">
        <v>40128.372106636285</v>
      </c>
      <c r="AO23" s="115">
        <v>40874.682910901734</v>
      </c>
      <c r="AP23" s="115">
        <v>41650.84614733781</v>
      </c>
      <c r="AQ23" s="115">
        <v>42458.055913231314</v>
      </c>
      <c r="AR23" s="115">
        <v>43297.554069760576</v>
      </c>
      <c r="AS23" s="115">
        <v>44170.632152551</v>
      </c>
      <c r="AT23" s="115">
        <v>45078.63335865304</v>
      </c>
      <c r="AU23" s="115">
        <v>46022.95461299915</v>
      </c>
      <c r="AV23" s="115">
        <v>47005.04871751912</v>
      </c>
      <c r="AW23" s="115">
        <v>48026.426586219895</v>
      </c>
      <c r="AX23" s="115">
        <v>49088.65956966869</v>
      </c>
      <c r="AY23" s="115">
        <v>50099.18890434158</v>
      </c>
      <c r="AZ23" s="115">
        <v>50960.87230051524</v>
      </c>
      <c r="BA23" s="115">
        <v>51857.02303253586</v>
      </c>
      <c r="BB23" s="115">
        <v>52789.01979383729</v>
      </c>
      <c r="BC23" s="115"/>
      <c r="BD23" s="115"/>
      <c r="BE23" s="115"/>
      <c r="BF23" s="115"/>
      <c r="BG23" s="115"/>
      <c r="BH23" s="115"/>
      <c r="BI23" s="115"/>
      <c r="BJ23" s="115"/>
      <c r="BK23" s="189"/>
      <c r="BL23" s="189"/>
      <c r="BM23" s="189"/>
      <c r="BN23" s="189"/>
      <c r="BO23" s="137"/>
      <c r="BP23" s="137"/>
      <c r="BQ23" s="137"/>
      <c r="BR23" s="137"/>
      <c r="BS23" s="137"/>
      <c r="BT23" s="137"/>
    </row>
    <row r="24">
      <c r="A24" s="191" t="s">
        <v>79</v>
      </c>
      <c r="B24" s="192"/>
      <c r="C24" s="192"/>
      <c r="D24" s="192"/>
      <c r="E24" s="192"/>
      <c r="F24" s="192"/>
      <c r="G24" s="192"/>
      <c r="H24" s="192"/>
      <c r="I24" s="192"/>
      <c r="J24" s="192"/>
      <c r="K24" s="192"/>
      <c r="L24" s="192"/>
      <c r="M24" s="192"/>
      <c r="N24" s="192"/>
      <c r="O24" s="192"/>
      <c r="P24" s="192"/>
      <c r="Q24" s="192"/>
      <c r="R24" s="192"/>
      <c r="S24" s="192"/>
      <c r="T24" s="192"/>
      <c r="U24" s="192"/>
      <c r="V24" s="193" t="str">
        <f t="shared" ref="V24:BT24" si="5">if(OR(V22&gt;0,V23&gt;0),sum(V22:V23),)</f>
        <v/>
      </c>
      <c r="W24" s="193">
        <f t="shared" si="5"/>
        <v>108009.3524</v>
      </c>
      <c r="X24" s="193">
        <f t="shared" si="5"/>
        <v>109861.0717</v>
      </c>
      <c r="Y24" s="193">
        <f t="shared" si="5"/>
        <v>111759.084</v>
      </c>
      <c r="Z24" s="193">
        <f t="shared" si="5"/>
        <v>113704.5466</v>
      </c>
      <c r="AA24" s="193">
        <f t="shared" si="5"/>
        <v>118245.1478</v>
      </c>
      <c r="AB24" s="193">
        <f t="shared" si="5"/>
        <v>120289.0994</v>
      </c>
      <c r="AC24" s="193">
        <f t="shared" si="5"/>
        <v>122384.1499</v>
      </c>
      <c r="AD24" s="193">
        <f t="shared" si="5"/>
        <v>124531.5766</v>
      </c>
      <c r="AE24" s="193">
        <f t="shared" si="5"/>
        <v>126732.6889</v>
      </c>
      <c r="AF24" s="193">
        <f t="shared" si="5"/>
        <v>127216.5326</v>
      </c>
      <c r="AG24" s="193">
        <f t="shared" si="5"/>
        <v>143636.5563</v>
      </c>
      <c r="AH24" s="193">
        <f t="shared" si="5"/>
        <v>146500.3209</v>
      </c>
      <c r="AI24" s="193">
        <f t="shared" si="5"/>
        <v>123004.912</v>
      </c>
      <c r="AJ24" s="193">
        <f t="shared" si="5"/>
        <v>125372.1087</v>
      </c>
      <c r="AK24" s="193">
        <f t="shared" si="5"/>
        <v>127807.6864</v>
      </c>
      <c r="AL24" s="193">
        <f t="shared" si="5"/>
        <v>130313.7229</v>
      </c>
      <c r="AM24" s="193">
        <f t="shared" si="5"/>
        <v>132892.3623</v>
      </c>
      <c r="AN24" s="193">
        <f t="shared" si="5"/>
        <v>135545.8177</v>
      </c>
      <c r="AO24" s="193">
        <f t="shared" si="5"/>
        <v>138188.8244</v>
      </c>
      <c r="AP24" s="193">
        <f t="shared" si="5"/>
        <v>140829.3513</v>
      </c>
      <c r="AQ24" s="193">
        <f t="shared" si="5"/>
        <v>143547.5339</v>
      </c>
      <c r="AR24" s="193">
        <f t="shared" si="5"/>
        <v>146345.7791</v>
      </c>
      <c r="AS24" s="193">
        <f t="shared" si="5"/>
        <v>127568.0096</v>
      </c>
      <c r="AT24" s="193">
        <f t="shared" si="5"/>
        <v>130159.7543</v>
      </c>
      <c r="AU24" s="193">
        <f t="shared" si="5"/>
        <v>132829.9125</v>
      </c>
      <c r="AV24" s="193">
        <f t="shared" si="5"/>
        <v>135580.9896</v>
      </c>
      <c r="AW24" s="193">
        <f t="shared" si="5"/>
        <v>138415.575</v>
      </c>
      <c r="AX24" s="193">
        <f t="shared" si="5"/>
        <v>141336.3457</v>
      </c>
      <c r="AY24" s="193">
        <f t="shared" si="5"/>
        <v>144251.8762</v>
      </c>
      <c r="AZ24" s="193">
        <f t="shared" si="5"/>
        <v>147066.1857</v>
      </c>
      <c r="BA24" s="193">
        <f t="shared" si="5"/>
        <v>149817.4737</v>
      </c>
      <c r="BB24" s="193">
        <f t="shared" si="5"/>
        <v>152629.9918</v>
      </c>
      <c r="BC24" s="193" t="str">
        <f t="shared" si="5"/>
        <v/>
      </c>
      <c r="BD24" s="193" t="str">
        <f t="shared" si="5"/>
        <v/>
      </c>
      <c r="BE24" s="193" t="str">
        <f t="shared" si="5"/>
        <v/>
      </c>
      <c r="BF24" s="193" t="str">
        <f t="shared" si="5"/>
        <v/>
      </c>
      <c r="BG24" s="193" t="str">
        <f t="shared" si="5"/>
        <v/>
      </c>
      <c r="BH24" s="193" t="str">
        <f t="shared" si="5"/>
        <v/>
      </c>
      <c r="BI24" s="193" t="str">
        <f t="shared" si="5"/>
        <v/>
      </c>
      <c r="BJ24" s="193" t="str">
        <f t="shared" si="5"/>
        <v/>
      </c>
      <c r="BK24" s="193" t="str">
        <f t="shared" si="5"/>
        <v/>
      </c>
      <c r="BL24" s="193" t="str">
        <f t="shared" si="5"/>
        <v/>
      </c>
      <c r="BM24" s="193" t="str">
        <f t="shared" si="5"/>
        <v/>
      </c>
      <c r="BN24" s="193" t="str">
        <f t="shared" si="5"/>
        <v/>
      </c>
      <c r="BO24" s="193" t="str">
        <f t="shared" si="5"/>
        <v/>
      </c>
      <c r="BP24" s="193" t="str">
        <f t="shared" si="5"/>
        <v/>
      </c>
      <c r="BQ24" s="193" t="str">
        <f t="shared" si="5"/>
        <v/>
      </c>
      <c r="BR24" s="193" t="str">
        <f t="shared" si="5"/>
        <v/>
      </c>
      <c r="BS24" s="193" t="str">
        <f t="shared" si="5"/>
        <v/>
      </c>
      <c r="BT24" s="193" t="str">
        <f t="shared" si="5"/>
        <v/>
      </c>
    </row>
    <row r="25">
      <c r="A25" s="194"/>
      <c r="B25" s="195"/>
      <c r="C25" s="195"/>
      <c r="D25" s="195"/>
      <c r="E25" s="195"/>
      <c r="F25" s="195"/>
      <c r="G25" s="195"/>
      <c r="H25" s="195"/>
      <c r="I25" s="195"/>
      <c r="J25" s="195"/>
      <c r="K25" s="196"/>
      <c r="L25" s="195"/>
      <c r="M25" s="195"/>
      <c r="N25" s="195"/>
      <c r="O25" s="195"/>
      <c r="P25" s="195"/>
      <c r="Q25" s="195"/>
      <c r="R25" s="195"/>
      <c r="S25" s="195"/>
      <c r="T25" s="195"/>
      <c r="U25" s="197"/>
      <c r="V25" s="198"/>
      <c r="W25" s="198"/>
      <c r="X25" s="198"/>
      <c r="Y25" s="198"/>
      <c r="Z25" s="198"/>
      <c r="AA25" s="198"/>
      <c r="AB25" s="198"/>
      <c r="AC25" s="198"/>
      <c r="AD25" s="198"/>
      <c r="AE25" s="198"/>
      <c r="AF25" s="198"/>
      <c r="AG25" s="198"/>
      <c r="AH25" s="198"/>
      <c r="AI25" s="198"/>
      <c r="AJ25" s="198"/>
      <c r="AK25" s="198"/>
      <c r="AL25" s="198"/>
      <c r="AM25" s="198"/>
      <c r="AN25" s="198"/>
      <c r="AO25" s="198"/>
      <c r="AP25" s="198"/>
      <c r="AQ25" s="198"/>
      <c r="AR25" s="198"/>
      <c r="AS25" s="198"/>
      <c r="AT25" s="198"/>
      <c r="AU25" s="198"/>
      <c r="AV25" s="198"/>
      <c r="AW25" s="198"/>
      <c r="AX25" s="198"/>
      <c r="AY25" s="198"/>
      <c r="AZ25" s="198"/>
      <c r="BA25" s="198"/>
      <c r="BB25" s="198"/>
      <c r="BC25" s="198"/>
      <c r="BD25" s="198"/>
      <c r="BE25" s="198"/>
      <c r="BF25" s="198"/>
      <c r="BG25" s="198"/>
      <c r="BH25" s="198"/>
      <c r="BI25" s="198"/>
      <c r="BJ25" s="198"/>
      <c r="BK25" s="198"/>
      <c r="BL25" s="198"/>
      <c r="BM25" s="198"/>
      <c r="BN25" s="198"/>
      <c r="BO25" s="198"/>
      <c r="BP25" s="198"/>
      <c r="BQ25" s="198"/>
      <c r="BR25" s="198"/>
      <c r="BS25" s="198"/>
      <c r="BT25" s="198"/>
    </row>
  </sheetData>
  <mergeCells count="10">
    <mergeCell ref="L5:M5"/>
    <mergeCell ref="L6:M6"/>
    <mergeCell ref="L7:M7"/>
    <mergeCell ref="L2:M2"/>
    <mergeCell ref="AJ2:AO2"/>
    <mergeCell ref="B3:C4"/>
    <mergeCell ref="L3:M3"/>
    <mergeCell ref="AK3:AO3"/>
    <mergeCell ref="L4:M4"/>
    <mergeCell ref="A5:A6"/>
  </mergeCells>
  <conditionalFormatting sqref="A13:A14 B16:BT17">
    <cfRule type="cellIs" dxfId="0" priority="1" operator="lessThan">
      <formula>1</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2" max="2" width="26.75"/>
  </cols>
  <sheetData>
    <row r="1">
      <c r="A1" s="199" t="s">
        <v>110</v>
      </c>
      <c r="B1" s="200" t="s">
        <v>111</v>
      </c>
    </row>
    <row r="2">
      <c r="A2" s="201"/>
    </row>
    <row r="30">
      <c r="A30" s="202" t="s">
        <v>52</v>
      </c>
      <c r="B30" s="203" t="s">
        <v>82</v>
      </c>
      <c r="C30" s="203" t="s">
        <v>112</v>
      </c>
      <c r="D30" s="203" t="s">
        <v>113</v>
      </c>
      <c r="E30" s="203" t="s">
        <v>114</v>
      </c>
      <c r="F30" s="203"/>
      <c r="G30" s="203"/>
      <c r="H30" s="203"/>
      <c r="I30" s="203"/>
      <c r="J30" s="203"/>
      <c r="K30" s="203"/>
    </row>
    <row r="31">
      <c r="A31" s="204">
        <v>55.0</v>
      </c>
      <c r="B31" s="205">
        <v>0.0</v>
      </c>
      <c r="C31" s="205">
        <v>0.0</v>
      </c>
      <c r="D31" s="205">
        <v>0.0</v>
      </c>
      <c r="E31" s="205">
        <v>0.0</v>
      </c>
      <c r="F31" s="206"/>
      <c r="G31" s="206"/>
      <c r="H31" s="206"/>
      <c r="I31" s="206"/>
      <c r="J31" s="206"/>
      <c r="K31" s="206"/>
    </row>
    <row r="32">
      <c r="A32" s="204">
        <v>56.0</v>
      </c>
      <c r="B32" s="205">
        <v>0.0</v>
      </c>
      <c r="C32" s="205">
        <v>0.0</v>
      </c>
      <c r="D32" s="205">
        <v>0.0</v>
      </c>
      <c r="E32" s="205">
        <v>0.0</v>
      </c>
      <c r="F32" s="206"/>
      <c r="G32" s="206"/>
      <c r="H32" s="206"/>
      <c r="I32" s="206"/>
      <c r="J32" s="206"/>
      <c r="K32" s="206"/>
    </row>
    <row r="33">
      <c r="A33" s="204">
        <v>57.0</v>
      </c>
      <c r="B33" s="205">
        <v>0.0</v>
      </c>
      <c r="C33" s="205">
        <v>0.0</v>
      </c>
      <c r="D33" s="205">
        <v>0.0</v>
      </c>
      <c r="E33" s="205">
        <v>0.0</v>
      </c>
      <c r="F33" s="206"/>
      <c r="G33" s="206"/>
      <c r="H33" s="206"/>
      <c r="I33" s="206"/>
      <c r="J33" s="206"/>
      <c r="K33" s="206"/>
    </row>
    <row r="34">
      <c r="A34" s="204">
        <v>58.0</v>
      </c>
      <c r="B34" s="205">
        <v>108009.35241134645</v>
      </c>
      <c r="C34" s="205">
        <v>127593.77487335206</v>
      </c>
      <c r="D34" s="205">
        <v>108009.35241134645</v>
      </c>
      <c r="E34" s="205">
        <v>19584.422462005612</v>
      </c>
      <c r="F34" s="206"/>
      <c r="G34" s="206"/>
      <c r="H34" s="206"/>
      <c r="I34" s="206"/>
      <c r="J34" s="206"/>
      <c r="K34" s="206"/>
    </row>
    <row r="35">
      <c r="A35" s="204">
        <v>59.0</v>
      </c>
      <c r="B35" s="205">
        <v>107547.7889967123</v>
      </c>
      <c r="C35" s="205">
        <v>130310.51674518583</v>
      </c>
      <c r="D35" s="205">
        <v>109861.07172163008</v>
      </c>
      <c r="E35" s="205">
        <v>20449.445023555752</v>
      </c>
      <c r="F35" s="206"/>
      <c r="G35" s="206"/>
      <c r="H35" s="206"/>
      <c r="I35" s="206"/>
      <c r="J35" s="206"/>
      <c r="K35" s="206"/>
    </row>
    <row r="36">
      <c r="A36" s="204">
        <v>60.0</v>
      </c>
      <c r="B36" s="205">
        <v>107097.48322633753</v>
      </c>
      <c r="C36" s="205">
        <v>133095.17716381548</v>
      </c>
      <c r="D36" s="205">
        <v>111759.08401467084</v>
      </c>
      <c r="E36" s="205">
        <v>21336.09314914464</v>
      </c>
      <c r="F36" s="206"/>
      <c r="G36" s="206"/>
      <c r="H36" s="206"/>
      <c r="I36" s="206"/>
      <c r="J36" s="206"/>
      <c r="K36" s="206"/>
    </row>
    <row r="37">
      <c r="A37" s="204">
        <v>61.0</v>
      </c>
      <c r="B37" s="205">
        <v>106658.16052353288</v>
      </c>
      <c r="C37" s="205">
        <v>135949.45409291086</v>
      </c>
      <c r="D37" s="205">
        <v>113704.5466150376</v>
      </c>
      <c r="E37" s="205">
        <v>22244.90747787325</v>
      </c>
      <c r="F37" s="206"/>
      <c r="G37" s="206"/>
      <c r="H37" s="206"/>
      <c r="I37" s="206"/>
      <c r="J37" s="206"/>
      <c r="K37" s="206"/>
    </row>
    <row r="38">
      <c r="A38" s="204">
        <v>62.0</v>
      </c>
      <c r="B38" s="205">
        <v>108947.40494300076</v>
      </c>
      <c r="C38" s="205">
        <v>141875.0879452336</v>
      </c>
      <c r="D38" s="205">
        <v>118245.14778041352</v>
      </c>
      <c r="E38" s="205">
        <v>23629.94016482008</v>
      </c>
      <c r="F38" s="206"/>
      <c r="G38" s="206"/>
      <c r="H38" s="206"/>
      <c r="I38" s="206"/>
      <c r="J38" s="206"/>
      <c r="K38" s="206"/>
    </row>
    <row r="39">
      <c r="A39" s="204">
        <v>63.0</v>
      </c>
      <c r="B39" s="205">
        <v>108462.96219832626</v>
      </c>
      <c r="C39" s="205">
        <v>144873.86264386444</v>
      </c>
      <c r="D39" s="205">
        <v>120289.09942492386</v>
      </c>
      <c r="E39" s="205">
        <v>24584.763218940574</v>
      </c>
      <c r="F39" s="206"/>
      <c r="G39" s="206"/>
      <c r="H39" s="206"/>
      <c r="I39" s="206"/>
      <c r="J39" s="206"/>
      <c r="K39" s="206"/>
    </row>
    <row r="40">
      <c r="A40" s="204">
        <v>64.0</v>
      </c>
      <c r="B40" s="205">
        <v>107990.33513035114</v>
      </c>
      <c r="C40" s="205">
        <v>147947.60670996102</v>
      </c>
      <c r="D40" s="205">
        <v>122384.14986054694</v>
      </c>
      <c r="E40" s="205">
        <v>25563.456849414088</v>
      </c>
      <c r="F40" s="206"/>
      <c r="G40" s="206"/>
      <c r="H40" s="206"/>
      <c r="I40" s="206"/>
      <c r="J40" s="206"/>
      <c r="K40" s="206"/>
    </row>
    <row r="41">
      <c r="A41" s="204">
        <v>65.0</v>
      </c>
      <c r="B41" s="205">
        <v>107529.23555183884</v>
      </c>
      <c r="C41" s="205">
        <v>151098.19437771005</v>
      </c>
      <c r="D41" s="205">
        <v>124531.57655706062</v>
      </c>
      <c r="E41" s="205">
        <v>26566.617820649433</v>
      </c>
      <c r="F41" s="206"/>
      <c r="G41" s="206"/>
      <c r="H41" s="206"/>
      <c r="I41" s="206"/>
      <c r="J41" s="206"/>
      <c r="K41" s="206"/>
    </row>
    <row r="42">
      <c r="A42" s="204">
        <v>66.0</v>
      </c>
      <c r="B42" s="205">
        <v>107079.38230450975</v>
      </c>
      <c r="C42" s="205">
        <v>154327.5467371528</v>
      </c>
      <c r="D42" s="205">
        <v>126732.68892098712</v>
      </c>
      <c r="E42" s="205">
        <v>27594.85781616567</v>
      </c>
      <c r="F42" s="206"/>
      <c r="G42" s="206"/>
      <c r="H42" s="206"/>
      <c r="I42" s="206"/>
      <c r="J42" s="206"/>
      <c r="K42" s="206"/>
    </row>
    <row r="43">
      <c r="A43" s="204">
        <v>67.0</v>
      </c>
      <c r="B43" s="205">
        <v>106640.50108760333</v>
      </c>
      <c r="C43" s="205">
        <v>157637.6329055816</v>
      </c>
      <c r="D43" s="205">
        <v>127216.53261167904</v>
      </c>
      <c r="E43" s="205">
        <v>30421.10029390254</v>
      </c>
      <c r="F43" s="206"/>
      <c r="G43" s="206"/>
      <c r="H43" s="206"/>
      <c r="I43" s="206"/>
      <c r="J43" s="206"/>
      <c r="K43" s="206"/>
    </row>
    <row r="44">
      <c r="A44" s="204">
        <v>68.0</v>
      </c>
      <c r="B44" s="205">
        <v>120057.47608444607</v>
      </c>
      <c r="C44" s="205">
        <v>178753.43605154843</v>
      </c>
      <c r="D44" s="205">
        <v>143636.55628839787</v>
      </c>
      <c r="E44" s="205">
        <v>35116.87976315055</v>
      </c>
      <c r="F44" s="206"/>
      <c r="G44" s="206"/>
      <c r="H44" s="206"/>
      <c r="I44" s="206"/>
      <c r="J44" s="206"/>
      <c r="K44" s="206"/>
    </row>
    <row r="45">
      <c r="A45" s="204">
        <v>69.0</v>
      </c>
      <c r="B45" s="205">
        <v>119842.35460144655</v>
      </c>
      <c r="C45" s="205">
        <v>182940.01392518706</v>
      </c>
      <c r="D45" s="205">
        <v>146500.32089836337</v>
      </c>
      <c r="E45" s="205">
        <v>36439.69302682369</v>
      </c>
      <c r="F45" s="206"/>
      <c r="G45" s="206"/>
      <c r="H45" s="206"/>
      <c r="I45" s="206"/>
      <c r="J45" s="206"/>
      <c r="K45" s="206"/>
    </row>
    <row r="46">
      <c r="A46" s="204">
        <v>70.0</v>
      </c>
      <c r="B46" s="205">
        <v>101823.33631049366</v>
      </c>
      <c r="C46" s="205">
        <v>158012.1637702307</v>
      </c>
      <c r="D46" s="205">
        <v>123004.9120127206</v>
      </c>
      <c r="E46" s="205">
        <v>35007.2517575101</v>
      </c>
      <c r="F46" s="206"/>
      <c r="G46" s="206"/>
      <c r="H46" s="206"/>
      <c r="I46" s="206"/>
      <c r="J46" s="206"/>
      <c r="K46" s="206"/>
    </row>
    <row r="47">
      <c r="A47" s="204">
        <v>71.0</v>
      </c>
      <c r="B47" s="205">
        <v>101634.3170641994</v>
      </c>
      <c r="C47" s="205">
        <v>161701.9027457801</v>
      </c>
      <c r="D47" s="205">
        <v>125372.10866807352</v>
      </c>
      <c r="E47" s="205">
        <v>36329.79407770658</v>
      </c>
      <c r="F47" s="206"/>
      <c r="G47" s="206"/>
      <c r="H47" s="206"/>
      <c r="I47" s="206"/>
      <c r="J47" s="206"/>
      <c r="K47" s="206"/>
    </row>
    <row r="48">
      <c r="A48" s="204">
        <v>72.0</v>
      </c>
      <c r="B48" s="205">
        <v>101458.04796440607</v>
      </c>
      <c r="C48" s="205">
        <v>165495.38669097002</v>
      </c>
      <c r="D48" s="205">
        <v>127807.68643601169</v>
      </c>
      <c r="E48" s="205">
        <v>37687.70025495833</v>
      </c>
      <c r="F48" s="206"/>
      <c r="G48" s="206"/>
      <c r="H48" s="206"/>
      <c r="I48" s="206"/>
      <c r="J48" s="206"/>
      <c r="K48" s="206"/>
    </row>
    <row r="49">
      <c r="A49" s="204">
        <v>73.0</v>
      </c>
      <c r="B49" s="205">
        <v>101294.33715272558</v>
      </c>
      <c r="C49" s="205">
        <v>169395.66928985147</v>
      </c>
      <c r="D49" s="205">
        <v>130313.72289219775</v>
      </c>
      <c r="E49" s="205">
        <v>39081.94639765373</v>
      </c>
      <c r="F49" s="206"/>
      <c r="G49" s="206"/>
      <c r="H49" s="206"/>
      <c r="I49" s="206"/>
      <c r="J49" s="206"/>
      <c r="K49" s="206"/>
    </row>
    <row r="50">
      <c r="A50" s="204">
        <v>74.0</v>
      </c>
      <c r="B50" s="205">
        <v>101142.99919347386</v>
      </c>
      <c r="C50" s="205">
        <v>173405.89897096928</v>
      </c>
      <c r="D50" s="205">
        <v>132892.36227359992</v>
      </c>
      <c r="E50" s="205">
        <v>40513.536697369374</v>
      </c>
      <c r="F50" s="206"/>
      <c r="G50" s="206"/>
      <c r="H50" s="206"/>
      <c r="I50" s="206"/>
      <c r="J50" s="206"/>
      <c r="K50" s="206"/>
    </row>
    <row r="51">
      <c r="A51" s="204">
        <v>75.0</v>
      </c>
      <c r="B51" s="205">
        <v>101003.85494253025</v>
      </c>
      <c r="C51" s="205">
        <v>177529.32201206987</v>
      </c>
      <c r="D51" s="205">
        <v>135545.817733901</v>
      </c>
      <c r="E51" s="205">
        <v>41983.504278168875</v>
      </c>
      <c r="F51" s="206"/>
      <c r="G51" s="206"/>
      <c r="H51" s="206"/>
      <c r="I51" s="206"/>
      <c r="J51" s="206"/>
      <c r="K51" s="206"/>
    </row>
    <row r="52">
      <c r="A52" s="204">
        <v>76.0</v>
      </c>
      <c r="B52" s="205">
        <v>100876.73141976872</v>
      </c>
      <c r="C52" s="205">
        <v>181769.28575187104</v>
      </c>
      <c r="D52" s="205">
        <v>138188.82444818586</v>
      </c>
      <c r="E52" s="205">
        <v>43580.46130368518</v>
      </c>
      <c r="F52" s="206"/>
      <c r="G52" s="206"/>
      <c r="H52" s="206"/>
      <c r="I52" s="206"/>
      <c r="J52" s="206"/>
      <c r="K52" s="206"/>
    </row>
    <row r="53">
      <c r="A53" s="204">
        <v>77.0</v>
      </c>
      <c r="B53" s="205">
        <v>100761.46168497945</v>
      </c>
      <c r="C53" s="205">
        <v>186129.2419127472</v>
      </c>
      <c r="D53" s="205">
        <v>140829.351348054</v>
      </c>
      <c r="E53" s="205">
        <v>45299.89056469318</v>
      </c>
      <c r="F53" s="206"/>
      <c r="G53" s="206"/>
      <c r="H53" s="206"/>
      <c r="I53" s="206"/>
      <c r="J53" s="206"/>
      <c r="K53" s="206"/>
    </row>
    <row r="54">
      <c r="A54" s="204">
        <v>78.0</v>
      </c>
      <c r="B54" s="205">
        <v>100657.88471720087</v>
      </c>
      <c r="C54" s="205">
        <v>190612.75003832846</v>
      </c>
      <c r="D54" s="205">
        <v>143547.53386896543</v>
      </c>
      <c r="E54" s="205">
        <v>47065.21616936302</v>
      </c>
      <c r="F54" s="206"/>
      <c r="G54" s="206"/>
      <c r="H54" s="206"/>
      <c r="I54" s="206"/>
      <c r="J54" s="206"/>
      <c r="K54" s="206"/>
    </row>
    <row r="55">
      <c r="A55" s="204">
        <v>79.0</v>
      </c>
      <c r="B55" s="205">
        <v>100565.84529738488</v>
      </c>
      <c r="C55" s="205">
        <v>195223.48105015978</v>
      </c>
      <c r="D55" s="205">
        <v>146345.77909938805</v>
      </c>
      <c r="E55" s="205">
        <v>48877.70195077172</v>
      </c>
      <c r="F55" s="206"/>
      <c r="G55" s="206"/>
      <c r="H55" s="206"/>
      <c r="I55" s="206"/>
      <c r="J55" s="206"/>
      <c r="K55" s="206"/>
    </row>
    <row r="56">
      <c r="A56" s="204">
        <v>80.0</v>
      </c>
      <c r="B56" s="205">
        <v>82668.14341205024</v>
      </c>
      <c r="C56" s="205">
        <v>162548.7001184635</v>
      </c>
      <c r="D56" s="205">
        <v>127568.00960921583</v>
      </c>
      <c r="E56" s="205">
        <v>34980.690509247645</v>
      </c>
      <c r="F56" s="206"/>
      <c r="G56" s="206"/>
      <c r="H56" s="206"/>
      <c r="I56" s="206"/>
      <c r="J56" s="206"/>
      <c r="K56" s="206"/>
    </row>
    <row r="57">
      <c r="A57" s="204">
        <v>81.0</v>
      </c>
      <c r="B57" s="205">
        <v>82598.73607146632</v>
      </c>
      <c r="C57" s="205">
        <v>166489.94068678538</v>
      </c>
      <c r="D57" s="205">
        <v>130159.75425173448</v>
      </c>
      <c r="E57" s="205">
        <v>36330.1864350509</v>
      </c>
      <c r="F57" s="206"/>
      <c r="G57" s="206"/>
      <c r="H57" s="206"/>
      <c r="I57" s="206"/>
      <c r="J57" s="206"/>
      <c r="K57" s="206"/>
    </row>
    <row r="58">
      <c r="A58" s="204">
        <v>82.0</v>
      </c>
      <c r="B58" s="205">
        <v>82540.43430825582</v>
      </c>
      <c r="C58" s="205">
        <v>170546.73729192975</v>
      </c>
      <c r="D58" s="205">
        <v>132829.91252840764</v>
      </c>
      <c r="E58" s="205">
        <v>37716.82476352212</v>
      </c>
      <c r="F58" s="206"/>
      <c r="G58" s="206"/>
      <c r="H58" s="206"/>
      <c r="I58" s="206"/>
      <c r="J58" s="206"/>
      <c r="K58" s="206"/>
    </row>
    <row r="59">
      <c r="A59" s="204">
        <v>83.0</v>
      </c>
      <c r="B59" s="205">
        <v>82493.10500173269</v>
      </c>
      <c r="C59" s="205">
        <v>174722.65983572174</v>
      </c>
      <c r="D59" s="205">
        <v>135580.9895808128</v>
      </c>
      <c r="E59" s="205">
        <v>39141.67025490892</v>
      </c>
      <c r="F59" s="206"/>
      <c r="G59" s="206"/>
      <c r="H59" s="206"/>
      <c r="I59" s="206"/>
      <c r="J59" s="206"/>
      <c r="K59" s="206"/>
    </row>
    <row r="60">
      <c r="A60" s="204">
        <v>84.0</v>
      </c>
      <c r="B60" s="205">
        <v>82456.6202938674</v>
      </c>
      <c r="C60" s="205">
        <v>179021.39470756822</v>
      </c>
      <c r="D60" s="205">
        <v>138415.57497109592</v>
      </c>
      <c r="E60" s="205">
        <v>40605.81973647232</v>
      </c>
      <c r="F60" s="206"/>
      <c r="G60" s="206"/>
      <c r="H60" s="206"/>
      <c r="I60" s="206"/>
      <c r="J60" s="206"/>
      <c r="K60" s="206"/>
    </row>
    <row r="61">
      <c r="A61" s="204">
        <v>85.0</v>
      </c>
      <c r="B61" s="205">
        <v>82430.8574904292</v>
      </c>
      <c r="C61" s="205">
        <v>183446.74878624908</v>
      </c>
      <c r="D61" s="205">
        <v>141336.3456641666</v>
      </c>
      <c r="E61" s="205">
        <v>42110.40312208245</v>
      </c>
      <c r="F61" s="206"/>
      <c r="G61" s="206"/>
      <c r="H61" s="206"/>
      <c r="I61" s="206"/>
      <c r="J61" s="206"/>
      <c r="K61" s="206"/>
    </row>
    <row r="62">
      <c r="A62" s="204">
        <v>86.0</v>
      </c>
      <c r="B62" s="205">
        <v>82415.69896497115</v>
      </c>
      <c r="C62" s="205">
        <v>188002.65358533655</v>
      </c>
      <c r="D62" s="205">
        <v>144251.87615120193</v>
      </c>
      <c r="E62" s="205">
        <v>43750.77743413463</v>
      </c>
      <c r="F62" s="206"/>
      <c r="G62" s="206"/>
      <c r="H62" s="206"/>
      <c r="I62" s="206"/>
      <c r="J62" s="206"/>
      <c r="K62" s="206"/>
    </row>
    <row r="63">
      <c r="A63" s="204">
        <v>87.0</v>
      </c>
      <c r="B63" s="205">
        <v>82411.032065595</v>
      </c>
      <c r="C63" s="205">
        <v>192693.16954757852</v>
      </c>
      <c r="D63" s="205">
        <v>147066.1857285471</v>
      </c>
      <c r="E63" s="205">
        <v>45626.98381903141</v>
      </c>
      <c r="F63" s="206"/>
      <c r="G63" s="206"/>
      <c r="H63" s="206"/>
      <c r="I63" s="206"/>
      <c r="J63" s="206"/>
      <c r="K63" s="206"/>
    </row>
    <row r="64">
      <c r="A64" s="204">
        <v>88.0</v>
      </c>
      <c r="B64" s="205">
        <v>82416.7490244346</v>
      </c>
      <c r="C64" s="205">
        <v>197522.49049378088</v>
      </c>
      <c r="D64" s="205">
        <v>149817.47369095747</v>
      </c>
      <c r="E64" s="205">
        <v>47705.016802823404</v>
      </c>
      <c r="F64" s="206"/>
      <c r="G64" s="206"/>
      <c r="H64" s="206"/>
      <c r="I64" s="206"/>
      <c r="J64" s="206"/>
      <c r="K64" s="206"/>
    </row>
    <row r="65">
      <c r="A65" s="204">
        <v>89.0</v>
      </c>
      <c r="B65" s="205">
        <v>82432.74686979786</v>
      </c>
      <c r="C65" s="205">
        <v>202494.94823193873</v>
      </c>
      <c r="D65" s="205">
        <v>152629.99184371938</v>
      </c>
      <c r="E65" s="205">
        <v>49864.95638821934</v>
      </c>
      <c r="F65" s="206"/>
      <c r="G65" s="206"/>
      <c r="H65" s="206"/>
      <c r="I65" s="206"/>
      <c r="J65" s="206"/>
      <c r="K65" s="206"/>
    </row>
    <row r="66">
      <c r="A66" s="204"/>
      <c r="B66" s="205"/>
      <c r="C66" s="205"/>
      <c r="D66" s="205"/>
      <c r="E66" s="205"/>
      <c r="F66" s="206"/>
      <c r="G66" s="206"/>
      <c r="H66" s="206"/>
      <c r="I66" s="206"/>
      <c r="J66" s="206"/>
      <c r="K66" s="206"/>
    </row>
    <row r="67">
      <c r="A67" s="204"/>
      <c r="B67" s="205"/>
      <c r="C67" s="205"/>
      <c r="D67" s="205"/>
      <c r="E67" s="205"/>
      <c r="F67" s="206"/>
      <c r="G67" s="206"/>
      <c r="H67" s="206"/>
      <c r="I67" s="206"/>
      <c r="J67" s="206"/>
      <c r="K67" s="206"/>
    </row>
    <row r="68">
      <c r="A68" s="204"/>
      <c r="B68" s="205"/>
      <c r="C68" s="205"/>
      <c r="D68" s="205"/>
      <c r="E68" s="205"/>
      <c r="F68" s="206"/>
      <c r="G68" s="206"/>
      <c r="H68" s="206"/>
      <c r="I68" s="206"/>
      <c r="J68" s="206"/>
      <c r="K68" s="206"/>
    </row>
    <row r="69">
      <c r="A69" s="204"/>
      <c r="B69" s="205"/>
      <c r="C69" s="205"/>
      <c r="D69" s="205"/>
      <c r="E69" s="205"/>
      <c r="F69" s="206"/>
      <c r="G69" s="206"/>
      <c r="H69" s="206"/>
      <c r="I69" s="206"/>
      <c r="J69" s="206"/>
      <c r="K69" s="206"/>
    </row>
    <row r="70">
      <c r="A70" s="204"/>
      <c r="B70" s="205"/>
      <c r="C70" s="205"/>
      <c r="D70" s="205"/>
      <c r="E70" s="205"/>
      <c r="F70" s="206"/>
      <c r="G70" s="206"/>
      <c r="H70" s="206"/>
      <c r="I70" s="206"/>
      <c r="J70" s="206"/>
      <c r="K70" s="206"/>
    </row>
    <row r="71">
      <c r="A71" s="204"/>
      <c r="B71" s="205"/>
      <c r="C71" s="205"/>
      <c r="D71" s="205"/>
      <c r="E71" s="205"/>
      <c r="F71" s="206"/>
      <c r="G71" s="206"/>
      <c r="H71" s="206"/>
      <c r="I71" s="206"/>
      <c r="J71" s="206"/>
      <c r="K71" s="206"/>
    </row>
    <row r="72">
      <c r="A72" s="204"/>
      <c r="B72" s="205"/>
      <c r="C72" s="205"/>
      <c r="D72" s="205"/>
      <c r="E72" s="205"/>
      <c r="F72" s="206"/>
      <c r="G72" s="206"/>
      <c r="H72" s="206"/>
      <c r="I72" s="206"/>
      <c r="J72" s="206"/>
      <c r="K72" s="206"/>
    </row>
    <row r="73">
      <c r="A73" s="204"/>
      <c r="B73" s="205"/>
      <c r="C73" s="205"/>
      <c r="D73" s="205"/>
      <c r="E73" s="205"/>
      <c r="F73" s="206"/>
      <c r="G73" s="206"/>
      <c r="H73" s="206"/>
      <c r="I73" s="206"/>
      <c r="J73" s="206"/>
      <c r="K73" s="206"/>
    </row>
    <row r="74">
      <c r="A74" s="204"/>
      <c r="B74" s="205"/>
      <c r="C74" s="205"/>
      <c r="D74" s="205"/>
      <c r="E74" s="205"/>
      <c r="F74" s="206"/>
      <c r="G74" s="206"/>
      <c r="H74" s="206"/>
      <c r="I74" s="206"/>
      <c r="J74" s="206"/>
      <c r="K74" s="206"/>
    </row>
    <row r="75">
      <c r="A75" s="204"/>
      <c r="B75" s="205"/>
      <c r="C75" s="205"/>
      <c r="D75" s="205"/>
      <c r="E75" s="205"/>
      <c r="F75" s="206"/>
      <c r="G75" s="206"/>
      <c r="H75" s="206"/>
      <c r="I75" s="206"/>
      <c r="J75" s="206"/>
      <c r="K75" s="206"/>
    </row>
    <row r="76">
      <c r="A76" s="204"/>
      <c r="B76" s="205"/>
      <c r="C76" s="205"/>
      <c r="D76" s="205"/>
      <c r="E76" s="205"/>
      <c r="F76" s="206"/>
      <c r="G76" s="206"/>
      <c r="H76" s="206"/>
      <c r="I76" s="206"/>
      <c r="J76" s="206"/>
      <c r="K76" s="206"/>
    </row>
    <row r="77">
      <c r="A77" s="204"/>
      <c r="B77" s="205"/>
      <c r="C77" s="205"/>
      <c r="D77" s="205"/>
      <c r="E77" s="205"/>
      <c r="F77" s="206"/>
      <c r="G77" s="206"/>
      <c r="H77" s="206"/>
      <c r="I77" s="206"/>
      <c r="J77" s="206"/>
      <c r="K77" s="206"/>
    </row>
    <row r="78">
      <c r="A78" s="207"/>
      <c r="B78" s="206"/>
      <c r="C78" s="206"/>
      <c r="D78" s="206"/>
      <c r="E78" s="206"/>
      <c r="F78" s="206"/>
      <c r="G78" s="206"/>
      <c r="H78" s="206"/>
      <c r="I78" s="206"/>
      <c r="J78" s="206"/>
      <c r="K78" s="206"/>
    </row>
    <row r="79">
      <c r="A79" s="207"/>
      <c r="B79" s="206"/>
      <c r="C79" s="206"/>
      <c r="D79" s="206"/>
      <c r="E79" s="206"/>
      <c r="F79" s="206"/>
      <c r="G79" s="206"/>
      <c r="H79" s="206"/>
      <c r="I79" s="206"/>
      <c r="J79" s="206"/>
      <c r="K79" s="206"/>
    </row>
    <row r="80">
      <c r="A80" s="207"/>
      <c r="B80" s="206"/>
      <c r="C80" s="206"/>
      <c r="D80" s="206"/>
      <c r="E80" s="206"/>
      <c r="F80" s="206"/>
      <c r="G80" s="206"/>
      <c r="H80" s="206"/>
      <c r="I80" s="206"/>
      <c r="J80" s="206"/>
      <c r="K80" s="206"/>
    </row>
    <row r="81">
      <c r="A81" s="207"/>
      <c r="B81" s="206"/>
      <c r="C81" s="206"/>
      <c r="D81" s="206"/>
      <c r="E81" s="206"/>
      <c r="F81" s="206"/>
      <c r="G81" s="206"/>
      <c r="H81" s="206"/>
      <c r="I81" s="206"/>
      <c r="J81" s="206"/>
      <c r="K81" s="206"/>
    </row>
    <row r="82">
      <c r="A82" s="207"/>
      <c r="B82" s="206"/>
      <c r="C82" s="206"/>
      <c r="D82" s="206"/>
      <c r="E82" s="206"/>
      <c r="F82" s="206"/>
      <c r="G82" s="206"/>
      <c r="H82" s="206"/>
      <c r="I82" s="206"/>
      <c r="J82" s="206"/>
      <c r="K82" s="206"/>
    </row>
    <row r="83">
      <c r="A83" s="207"/>
      <c r="B83" s="206"/>
      <c r="C83" s="206"/>
      <c r="D83" s="206"/>
      <c r="E83" s="206"/>
      <c r="F83" s="206"/>
      <c r="G83" s="206"/>
      <c r="H83" s="206"/>
      <c r="I83" s="206"/>
      <c r="J83" s="206"/>
      <c r="K83" s="206"/>
    </row>
    <row r="84">
      <c r="A84" s="207"/>
      <c r="B84" s="206"/>
      <c r="C84" s="206"/>
      <c r="D84" s="206"/>
      <c r="E84" s="206"/>
      <c r="F84" s="206"/>
      <c r="G84" s="206"/>
      <c r="H84" s="206"/>
      <c r="I84" s="206"/>
      <c r="J84" s="206"/>
      <c r="K84" s="206"/>
    </row>
    <row r="85">
      <c r="A85" s="207"/>
      <c r="B85" s="206"/>
      <c r="C85" s="206"/>
      <c r="D85" s="206"/>
      <c r="E85" s="206"/>
      <c r="F85" s="206"/>
      <c r="G85" s="206"/>
      <c r="H85" s="206"/>
      <c r="I85" s="206"/>
      <c r="J85" s="206"/>
      <c r="K85" s="206"/>
    </row>
    <row r="86">
      <c r="A86" s="207"/>
      <c r="B86" s="206"/>
      <c r="C86" s="206"/>
      <c r="D86" s="206"/>
      <c r="E86" s="206"/>
      <c r="F86" s="206"/>
      <c r="G86" s="206"/>
      <c r="H86" s="206"/>
      <c r="I86" s="206"/>
      <c r="J86" s="206"/>
      <c r="K86" s="206"/>
    </row>
    <row r="87">
      <c r="A87" s="207"/>
      <c r="B87" s="206"/>
      <c r="C87" s="206"/>
      <c r="D87" s="206"/>
      <c r="E87" s="206"/>
      <c r="F87" s="206"/>
      <c r="G87" s="206"/>
      <c r="H87" s="206"/>
      <c r="I87" s="206"/>
      <c r="J87" s="206"/>
      <c r="K87" s="206"/>
    </row>
    <row r="88">
      <c r="A88" s="207"/>
      <c r="B88" s="206"/>
      <c r="C88" s="206"/>
      <c r="D88" s="206"/>
      <c r="E88" s="206"/>
      <c r="F88" s="206"/>
      <c r="G88" s="206"/>
      <c r="H88" s="206"/>
      <c r="I88" s="206"/>
      <c r="J88" s="206"/>
      <c r="K88" s="206"/>
    </row>
    <row r="89">
      <c r="A89" s="207"/>
      <c r="B89" s="206"/>
      <c r="C89" s="206"/>
      <c r="D89" s="206"/>
      <c r="E89" s="206"/>
      <c r="F89" s="206"/>
      <c r="G89" s="206"/>
      <c r="H89" s="206"/>
      <c r="I89" s="206"/>
      <c r="J89" s="206"/>
      <c r="K89" s="206"/>
    </row>
    <row r="90">
      <c r="A90" s="207"/>
      <c r="B90" s="206"/>
      <c r="C90" s="206"/>
      <c r="D90" s="206"/>
      <c r="E90" s="206"/>
      <c r="F90" s="206"/>
      <c r="G90" s="206"/>
      <c r="H90" s="206"/>
      <c r="I90" s="206"/>
      <c r="J90" s="206"/>
      <c r="K90" s="206"/>
    </row>
    <row r="91">
      <c r="A91" s="207"/>
      <c r="B91" s="206"/>
      <c r="C91" s="206"/>
      <c r="D91" s="206"/>
      <c r="E91" s="206"/>
      <c r="F91" s="206"/>
      <c r="G91" s="206"/>
      <c r="H91" s="206"/>
      <c r="I91" s="206"/>
      <c r="J91" s="206"/>
      <c r="K91" s="206"/>
    </row>
    <row r="92">
      <c r="A92" s="207"/>
      <c r="B92" s="206"/>
      <c r="C92" s="206"/>
      <c r="D92" s="206"/>
      <c r="E92" s="206"/>
      <c r="F92" s="206"/>
      <c r="G92" s="206"/>
      <c r="H92" s="206"/>
      <c r="I92" s="206"/>
      <c r="J92" s="206"/>
      <c r="K92" s="206"/>
    </row>
    <row r="93">
      <c r="A93" s="207"/>
      <c r="B93" s="206"/>
      <c r="C93" s="206"/>
      <c r="D93" s="206"/>
      <c r="E93" s="206"/>
      <c r="F93" s="206"/>
      <c r="G93" s="206"/>
      <c r="H93" s="206"/>
      <c r="I93" s="206"/>
      <c r="J93" s="206"/>
      <c r="K93" s="206"/>
    </row>
    <row r="94">
      <c r="A94" s="207"/>
      <c r="B94" s="206"/>
      <c r="C94" s="206"/>
      <c r="D94" s="206"/>
      <c r="E94" s="206"/>
      <c r="F94" s="206"/>
      <c r="G94" s="206"/>
      <c r="H94" s="206"/>
      <c r="I94" s="206"/>
      <c r="J94" s="206"/>
      <c r="K94" s="206"/>
    </row>
    <row r="95">
      <c r="A95" s="207"/>
      <c r="B95" s="206"/>
      <c r="C95" s="206"/>
      <c r="D95" s="206"/>
      <c r="E95" s="206"/>
      <c r="F95" s="206"/>
      <c r="G95" s="206"/>
      <c r="H95" s="206"/>
      <c r="I95" s="206"/>
      <c r="J95" s="206"/>
      <c r="K95" s="206"/>
    </row>
    <row r="96">
      <c r="A96" s="207"/>
      <c r="B96" s="206"/>
      <c r="C96" s="206"/>
      <c r="D96" s="206"/>
      <c r="E96" s="206"/>
      <c r="F96" s="206"/>
      <c r="G96" s="206"/>
      <c r="H96" s="206"/>
      <c r="I96" s="206"/>
      <c r="J96" s="206"/>
      <c r="K96" s="206"/>
    </row>
    <row r="97">
      <c r="A97" s="207"/>
      <c r="B97" s="206"/>
      <c r="C97" s="206"/>
      <c r="D97" s="206"/>
      <c r="E97" s="206"/>
      <c r="F97" s="206"/>
      <c r="G97" s="206"/>
      <c r="H97" s="206"/>
      <c r="I97" s="206"/>
      <c r="J97" s="206"/>
      <c r="K97" s="206"/>
    </row>
    <row r="98">
      <c r="A98" s="207"/>
      <c r="B98" s="206"/>
      <c r="C98" s="206"/>
      <c r="D98" s="206"/>
      <c r="E98" s="206"/>
      <c r="F98" s="206"/>
      <c r="G98" s="206"/>
      <c r="H98" s="206"/>
      <c r="I98" s="206"/>
      <c r="J98" s="206"/>
      <c r="K98" s="206"/>
    </row>
    <row r="99">
      <c r="A99" s="207"/>
      <c r="B99" s="206"/>
      <c r="C99" s="206"/>
      <c r="D99" s="206"/>
      <c r="E99" s="206"/>
      <c r="F99" s="206"/>
      <c r="G99" s="206"/>
      <c r="H99" s="206"/>
      <c r="I99" s="206"/>
      <c r="J99" s="206"/>
      <c r="K99" s="206"/>
    </row>
    <row r="100">
      <c r="A100" s="207"/>
      <c r="B100" s="206"/>
      <c r="C100" s="206"/>
      <c r="D100" s="206"/>
      <c r="E100" s="206"/>
      <c r="F100" s="206"/>
      <c r="G100" s="206"/>
      <c r="H100" s="206"/>
      <c r="I100" s="206"/>
      <c r="J100" s="206"/>
      <c r="K100" s="206"/>
    </row>
    <row r="101">
      <c r="A101" s="207"/>
      <c r="B101" s="206"/>
      <c r="C101" s="206"/>
      <c r="D101" s="206"/>
      <c r="E101" s="206"/>
      <c r="F101" s="206"/>
      <c r="G101" s="206"/>
      <c r="H101" s="206"/>
      <c r="I101" s="206"/>
      <c r="J101" s="206"/>
      <c r="K101" s="206"/>
    </row>
  </sheetData>
  <mergeCells count="2">
    <mergeCell ref="B1:K1"/>
    <mergeCell ref="A2:K29"/>
  </mergeCells>
  <drawing r:id="rId1"/>
</worksheet>
</file>